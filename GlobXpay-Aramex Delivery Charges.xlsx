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bxpay.sharepoint.com/sites/GlobXpay-Shared/Shared Documents/04 Business Development Department/00 GlobXpay Documentations/"/>
    </mc:Choice>
  </mc:AlternateContent>
  <xr:revisionPtr revIDLastSave="151" documentId="8_{6EB03E1F-8B97-4B0D-8889-58A65B528DC0}" xr6:coauthVersionLast="47" xr6:coauthVersionMax="47" xr10:uidLastSave="{7EE56E39-2AC8-4D37-A79D-4E0D8DD7256D}"/>
  <bookViews>
    <workbookView xWindow="28680" yWindow="-120" windowWidth="24240" windowHeight="13020" xr2:uid="{00000000-000D-0000-FFFF-FFFF00000000}"/>
  </bookViews>
  <sheets>
    <sheet name="Delivery fees" sheetId="3" r:id="rId1"/>
    <sheet name="Sheet2" sheetId="7" state="hidden" r:id="rId2"/>
  </sheets>
  <definedNames>
    <definedName name="_xlnm._FilterDatabase" localSheetId="0" hidden="1">'Delivery fees'!$A$8:$C$8</definedName>
    <definedName name="المناطق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3" i="3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G71" i="3"/>
  <c r="H71" i="3" s="1"/>
  <c r="G72" i="3"/>
  <c r="H72" i="3" s="1"/>
  <c r="G73" i="3"/>
  <c r="H73" i="3" s="1"/>
  <c r="G74" i="3"/>
  <c r="H74" i="3" s="1"/>
  <c r="G75" i="3"/>
  <c r="H75" i="3" s="1"/>
  <c r="G76" i="3"/>
  <c r="H76" i="3" s="1"/>
  <c r="G77" i="3"/>
  <c r="H77" i="3" s="1"/>
  <c r="G78" i="3"/>
  <c r="H78" i="3" s="1"/>
  <c r="G79" i="3"/>
  <c r="H79" i="3" s="1"/>
  <c r="G80" i="3"/>
  <c r="H80" i="3" s="1"/>
  <c r="G81" i="3"/>
  <c r="H81" i="3" s="1"/>
  <c r="G82" i="3"/>
  <c r="H82" i="3" s="1"/>
  <c r="G83" i="3"/>
  <c r="H83" i="3" s="1"/>
  <c r="G84" i="3"/>
  <c r="H84" i="3" s="1"/>
  <c r="G85" i="3"/>
  <c r="H85" i="3" s="1"/>
  <c r="G86" i="3"/>
  <c r="H86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95" i="3"/>
  <c r="H95" i="3" s="1"/>
  <c r="G96" i="3"/>
  <c r="H96" i="3" s="1"/>
  <c r="G97" i="3"/>
  <c r="H97" i="3" s="1"/>
  <c r="G98" i="3"/>
  <c r="H98" i="3" s="1"/>
  <c r="G99" i="3"/>
  <c r="H99" i="3" s="1"/>
  <c r="G100" i="3"/>
  <c r="H100" i="3" s="1"/>
  <c r="G101" i="3"/>
  <c r="H101" i="3" s="1"/>
  <c r="G102" i="3"/>
  <c r="H102" i="3" s="1"/>
  <c r="G103" i="3"/>
  <c r="H103" i="3" s="1"/>
  <c r="G104" i="3"/>
  <c r="H104" i="3" s="1"/>
  <c r="G105" i="3"/>
  <c r="H105" i="3" s="1"/>
  <c r="G106" i="3"/>
  <c r="H106" i="3" s="1"/>
  <c r="G107" i="3"/>
  <c r="H107" i="3" s="1"/>
  <c r="G108" i="3"/>
  <c r="H108" i="3" s="1"/>
  <c r="G109" i="3"/>
  <c r="H109" i="3" s="1"/>
  <c r="G110" i="3"/>
  <c r="H110" i="3" s="1"/>
  <c r="G111" i="3"/>
  <c r="H111" i="3" s="1"/>
  <c r="G112" i="3"/>
  <c r="H112" i="3" s="1"/>
  <c r="G113" i="3"/>
  <c r="H113" i="3" s="1"/>
  <c r="G114" i="3"/>
  <c r="H114" i="3" s="1"/>
  <c r="G115" i="3"/>
  <c r="H115" i="3" s="1"/>
  <c r="G116" i="3"/>
  <c r="H116" i="3" s="1"/>
  <c r="G117" i="3"/>
  <c r="H117" i="3" s="1"/>
  <c r="G118" i="3"/>
  <c r="H118" i="3" s="1"/>
  <c r="G119" i="3"/>
  <c r="H119" i="3" s="1"/>
  <c r="G120" i="3"/>
  <c r="H120" i="3" s="1"/>
  <c r="G121" i="3"/>
  <c r="H121" i="3" s="1"/>
  <c r="G122" i="3"/>
  <c r="H122" i="3" s="1"/>
  <c r="G123" i="3"/>
  <c r="H123" i="3" s="1"/>
  <c r="G124" i="3"/>
  <c r="H124" i="3" s="1"/>
  <c r="G125" i="3"/>
  <c r="H125" i="3" s="1"/>
  <c r="G126" i="3"/>
  <c r="H126" i="3" s="1"/>
  <c r="G127" i="3"/>
  <c r="H127" i="3" s="1"/>
  <c r="G128" i="3"/>
  <c r="H128" i="3" s="1"/>
  <c r="G129" i="3"/>
  <c r="H129" i="3" s="1"/>
  <c r="G130" i="3"/>
  <c r="H130" i="3" s="1"/>
  <c r="G131" i="3"/>
  <c r="H131" i="3" s="1"/>
  <c r="G132" i="3"/>
  <c r="H132" i="3" s="1"/>
  <c r="G133" i="3"/>
  <c r="H133" i="3" s="1"/>
  <c r="G134" i="3"/>
  <c r="H134" i="3" s="1"/>
  <c r="G135" i="3"/>
  <c r="H135" i="3" s="1"/>
  <c r="G136" i="3"/>
  <c r="H136" i="3" s="1"/>
  <c r="G137" i="3"/>
  <c r="H137" i="3" s="1"/>
  <c r="G138" i="3"/>
  <c r="H138" i="3" s="1"/>
  <c r="G139" i="3"/>
  <c r="H139" i="3" s="1"/>
  <c r="G140" i="3"/>
  <c r="H140" i="3" s="1"/>
  <c r="G141" i="3"/>
  <c r="H141" i="3" s="1"/>
  <c r="G142" i="3"/>
  <c r="H142" i="3" s="1"/>
  <c r="G143" i="3"/>
  <c r="H143" i="3" s="1"/>
  <c r="G144" i="3"/>
  <c r="H144" i="3" s="1"/>
  <c r="G145" i="3"/>
  <c r="H145" i="3" s="1"/>
  <c r="G146" i="3"/>
  <c r="H146" i="3" s="1"/>
  <c r="G147" i="3"/>
  <c r="H147" i="3" s="1"/>
  <c r="G148" i="3"/>
  <c r="H148" i="3" s="1"/>
  <c r="G149" i="3"/>
  <c r="H149" i="3" s="1"/>
  <c r="G150" i="3"/>
  <c r="H150" i="3" s="1"/>
  <c r="G151" i="3"/>
  <c r="H151" i="3" s="1"/>
  <c r="G152" i="3"/>
  <c r="H152" i="3" s="1"/>
  <c r="G153" i="3"/>
  <c r="H153" i="3" s="1"/>
  <c r="G154" i="3"/>
  <c r="H154" i="3" s="1"/>
  <c r="G155" i="3"/>
  <c r="H155" i="3" s="1"/>
  <c r="G156" i="3"/>
  <c r="H156" i="3" s="1"/>
  <c r="G157" i="3"/>
  <c r="H157" i="3" s="1"/>
  <c r="G158" i="3"/>
  <c r="H158" i="3" s="1"/>
  <c r="G159" i="3"/>
  <c r="H159" i="3" s="1"/>
  <c r="G160" i="3"/>
  <c r="H160" i="3" s="1"/>
  <c r="G161" i="3"/>
  <c r="H161" i="3" s="1"/>
  <c r="G162" i="3"/>
  <c r="H162" i="3" s="1"/>
  <c r="G163" i="3"/>
  <c r="H163" i="3" s="1"/>
  <c r="G164" i="3"/>
  <c r="H164" i="3" s="1"/>
  <c r="G165" i="3"/>
  <c r="H165" i="3" s="1"/>
  <c r="G166" i="3"/>
  <c r="H166" i="3" s="1"/>
  <c r="G167" i="3"/>
  <c r="H167" i="3" s="1"/>
  <c r="G168" i="3"/>
  <c r="H168" i="3" s="1"/>
  <c r="G169" i="3"/>
  <c r="H169" i="3" s="1"/>
  <c r="G170" i="3"/>
  <c r="H170" i="3" s="1"/>
  <c r="G171" i="3"/>
  <c r="H171" i="3" s="1"/>
  <c r="G172" i="3"/>
  <c r="H172" i="3" s="1"/>
  <c r="G173" i="3"/>
  <c r="H173" i="3" s="1"/>
  <c r="G174" i="3"/>
  <c r="H174" i="3" s="1"/>
  <c r="G175" i="3"/>
  <c r="H175" i="3" s="1"/>
  <c r="G176" i="3"/>
  <c r="H176" i="3" s="1"/>
  <c r="G177" i="3"/>
  <c r="H177" i="3" s="1"/>
  <c r="G178" i="3"/>
  <c r="H178" i="3" s="1"/>
  <c r="G179" i="3"/>
  <c r="H179" i="3" s="1"/>
  <c r="G180" i="3"/>
  <c r="H180" i="3" s="1"/>
  <c r="G181" i="3"/>
  <c r="H181" i="3" s="1"/>
  <c r="G182" i="3"/>
  <c r="H182" i="3" s="1"/>
  <c r="G183" i="3"/>
  <c r="H183" i="3" s="1"/>
  <c r="G184" i="3"/>
  <c r="H184" i="3" s="1"/>
  <c r="G185" i="3"/>
  <c r="H185" i="3" s="1"/>
  <c r="G186" i="3"/>
  <c r="H186" i="3" s="1"/>
  <c r="G187" i="3"/>
  <c r="H187" i="3" s="1"/>
  <c r="G188" i="3"/>
  <c r="H188" i="3" s="1"/>
  <c r="G189" i="3"/>
  <c r="H189" i="3" s="1"/>
  <c r="G190" i="3"/>
  <c r="H190" i="3" s="1"/>
  <c r="G191" i="3"/>
  <c r="H191" i="3" s="1"/>
  <c r="G192" i="3"/>
  <c r="H192" i="3" s="1"/>
  <c r="G193" i="3"/>
  <c r="H193" i="3" s="1"/>
  <c r="G194" i="3"/>
  <c r="H194" i="3" s="1"/>
  <c r="G195" i="3"/>
  <c r="H195" i="3" s="1"/>
  <c r="G196" i="3"/>
  <c r="H196" i="3" s="1"/>
  <c r="G197" i="3"/>
  <c r="H197" i="3" s="1"/>
  <c r="G198" i="3"/>
  <c r="H198" i="3" s="1"/>
  <c r="G199" i="3"/>
  <c r="H199" i="3" s="1"/>
  <c r="G200" i="3"/>
  <c r="H200" i="3" s="1"/>
  <c r="G201" i="3"/>
  <c r="H201" i="3" s="1"/>
  <c r="G202" i="3"/>
  <c r="H202" i="3" s="1"/>
  <c r="G203" i="3"/>
  <c r="H203" i="3" s="1"/>
  <c r="G204" i="3"/>
  <c r="H204" i="3" s="1"/>
  <c r="G205" i="3"/>
  <c r="H205" i="3" s="1"/>
  <c r="G206" i="3"/>
  <c r="H206" i="3" s="1"/>
  <c r="G207" i="3"/>
  <c r="H207" i="3" s="1"/>
  <c r="G208" i="3"/>
  <c r="H208" i="3" s="1"/>
  <c r="G209" i="3"/>
  <c r="H209" i="3" s="1"/>
  <c r="G210" i="3"/>
  <c r="H210" i="3" s="1"/>
  <c r="G211" i="3"/>
  <c r="H211" i="3" s="1"/>
  <c r="G212" i="3"/>
  <c r="H212" i="3" s="1"/>
  <c r="G213" i="3"/>
  <c r="H213" i="3" s="1"/>
  <c r="G214" i="3"/>
  <c r="H214" i="3" s="1"/>
  <c r="G215" i="3"/>
  <c r="H215" i="3" s="1"/>
  <c r="G216" i="3"/>
  <c r="H216" i="3" s="1"/>
  <c r="G217" i="3"/>
  <c r="H217" i="3" s="1"/>
  <c r="G218" i="3"/>
  <c r="H218" i="3" s="1"/>
  <c r="G219" i="3"/>
  <c r="H219" i="3" s="1"/>
  <c r="G220" i="3"/>
  <c r="H220" i="3" s="1"/>
  <c r="G221" i="3"/>
  <c r="H221" i="3" s="1"/>
  <c r="G222" i="3"/>
  <c r="H222" i="3" s="1"/>
  <c r="G223" i="3"/>
  <c r="H223" i="3" s="1"/>
  <c r="G224" i="3"/>
  <c r="H224" i="3" s="1"/>
  <c r="G225" i="3"/>
  <c r="H225" i="3" s="1"/>
  <c r="G226" i="3"/>
  <c r="H226" i="3" s="1"/>
  <c r="G227" i="3"/>
  <c r="H227" i="3" s="1"/>
  <c r="G228" i="3"/>
  <c r="H228" i="3" s="1"/>
  <c r="G229" i="3"/>
  <c r="H229" i="3" s="1"/>
  <c r="G230" i="3"/>
  <c r="H230" i="3" s="1"/>
  <c r="G231" i="3"/>
  <c r="H231" i="3" s="1"/>
  <c r="G232" i="3"/>
  <c r="H232" i="3" s="1"/>
  <c r="G233" i="3"/>
  <c r="H233" i="3" s="1"/>
  <c r="G234" i="3"/>
  <c r="H234" i="3" s="1"/>
  <c r="G235" i="3"/>
  <c r="H235" i="3" s="1"/>
  <c r="G236" i="3"/>
  <c r="H236" i="3" s="1"/>
  <c r="G237" i="3"/>
  <c r="H237" i="3" s="1"/>
  <c r="G238" i="3"/>
  <c r="H238" i="3" s="1"/>
  <c r="G239" i="3"/>
  <c r="H239" i="3" s="1"/>
  <c r="G240" i="3"/>
  <c r="H240" i="3" s="1"/>
  <c r="G241" i="3"/>
  <c r="H241" i="3" s="1"/>
  <c r="G242" i="3"/>
  <c r="H242" i="3" s="1"/>
  <c r="G243" i="3"/>
  <c r="H243" i="3" s="1"/>
  <c r="G244" i="3"/>
  <c r="H244" i="3" s="1"/>
  <c r="G245" i="3"/>
  <c r="H245" i="3" s="1"/>
  <c r="G246" i="3"/>
  <c r="H246" i="3" s="1"/>
  <c r="G247" i="3"/>
  <c r="H247" i="3" s="1"/>
  <c r="G248" i="3"/>
  <c r="H248" i="3" s="1"/>
  <c r="G249" i="3"/>
  <c r="H249" i="3" s="1"/>
  <c r="G250" i="3"/>
  <c r="H250" i="3" s="1"/>
  <c r="G251" i="3"/>
  <c r="H251" i="3" s="1"/>
  <c r="G252" i="3"/>
  <c r="H252" i="3" s="1"/>
  <c r="G9" i="3"/>
  <c r="H9" i="3" s="1"/>
  <c r="D10" i="3"/>
  <c r="D9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N9" i="3"/>
  <c r="N10" i="3"/>
  <c r="N11" i="3"/>
  <c r="N12" i="3"/>
  <c r="N13" i="3"/>
  <c r="E10" i="3" l="1"/>
  <c r="J10" i="3" s="1"/>
  <c r="I10" i="3"/>
  <c r="E9" i="3"/>
  <c r="J9" i="3" s="1"/>
  <c r="I9" i="3"/>
  <c r="E11" i="3"/>
  <c r="J11" i="3" s="1"/>
  <c r="I11" i="3"/>
  <c r="E12" i="3"/>
  <c r="J12" i="3" s="1"/>
  <c r="I12" i="3"/>
  <c r="E13" i="3"/>
  <c r="J13" i="3" s="1"/>
  <c r="I13" i="3"/>
  <c r="E14" i="3"/>
  <c r="J14" i="3" s="1"/>
  <c r="I14" i="3"/>
  <c r="E15" i="3"/>
  <c r="J15" i="3" s="1"/>
  <c r="I15" i="3"/>
  <c r="E16" i="3"/>
  <c r="J16" i="3" s="1"/>
  <c r="I16" i="3"/>
  <c r="E17" i="3"/>
  <c r="J17" i="3" s="1"/>
  <c r="I17" i="3"/>
  <c r="E18" i="3"/>
  <c r="J18" i="3" s="1"/>
  <c r="I18" i="3"/>
  <c r="E19" i="3"/>
  <c r="J19" i="3" s="1"/>
  <c r="I19" i="3"/>
  <c r="E20" i="3"/>
  <c r="J20" i="3" s="1"/>
  <c r="I20" i="3"/>
  <c r="E21" i="3"/>
  <c r="J21" i="3" s="1"/>
  <c r="I21" i="3"/>
  <c r="E22" i="3"/>
  <c r="J22" i="3" s="1"/>
  <c r="I22" i="3"/>
  <c r="E23" i="3"/>
  <c r="J23" i="3" s="1"/>
  <c r="I23" i="3"/>
  <c r="E24" i="3"/>
  <c r="J24" i="3" s="1"/>
  <c r="I24" i="3"/>
  <c r="E25" i="3"/>
  <c r="J25" i="3" s="1"/>
  <c r="I25" i="3"/>
  <c r="E26" i="3"/>
  <c r="J26" i="3" s="1"/>
  <c r="I26" i="3"/>
  <c r="E27" i="3"/>
  <c r="J27" i="3" s="1"/>
  <c r="I27" i="3"/>
  <c r="E28" i="3"/>
  <c r="J28" i="3" s="1"/>
  <c r="I28" i="3"/>
  <c r="E29" i="3"/>
  <c r="J29" i="3" s="1"/>
  <c r="I29" i="3"/>
  <c r="E30" i="3"/>
  <c r="J30" i="3" s="1"/>
  <c r="I30" i="3"/>
  <c r="E31" i="3"/>
  <c r="J31" i="3" s="1"/>
  <c r="I31" i="3"/>
  <c r="E32" i="3"/>
  <c r="J32" i="3" s="1"/>
  <c r="I32" i="3"/>
  <c r="E33" i="3"/>
  <c r="J33" i="3" s="1"/>
  <c r="I33" i="3"/>
  <c r="E34" i="3"/>
  <c r="J34" i="3" s="1"/>
  <c r="I34" i="3"/>
  <c r="E35" i="3"/>
  <c r="J35" i="3" s="1"/>
  <c r="I35" i="3"/>
  <c r="E36" i="3"/>
  <c r="J36" i="3" s="1"/>
  <c r="I36" i="3"/>
  <c r="E37" i="3"/>
  <c r="J37" i="3" s="1"/>
  <c r="I37" i="3"/>
  <c r="E38" i="3"/>
  <c r="J38" i="3" s="1"/>
  <c r="I38" i="3"/>
  <c r="E39" i="3"/>
  <c r="J39" i="3" s="1"/>
  <c r="I39" i="3"/>
  <c r="E40" i="3"/>
  <c r="J40" i="3" s="1"/>
  <c r="I40" i="3"/>
  <c r="E41" i="3"/>
  <c r="J41" i="3" s="1"/>
  <c r="I41" i="3"/>
  <c r="E42" i="3"/>
  <c r="J42" i="3" s="1"/>
  <c r="I42" i="3"/>
  <c r="E43" i="3"/>
  <c r="J43" i="3" s="1"/>
  <c r="I43" i="3"/>
  <c r="E44" i="3"/>
  <c r="J44" i="3" s="1"/>
  <c r="I44" i="3"/>
  <c r="E45" i="3"/>
  <c r="J45" i="3" s="1"/>
  <c r="I45" i="3"/>
  <c r="E46" i="3"/>
  <c r="J46" i="3" s="1"/>
  <c r="I46" i="3"/>
  <c r="E47" i="3"/>
  <c r="J47" i="3" s="1"/>
  <c r="I47" i="3"/>
  <c r="E48" i="3"/>
  <c r="J48" i="3" s="1"/>
  <c r="I48" i="3"/>
  <c r="E49" i="3"/>
  <c r="J49" i="3" s="1"/>
  <c r="I49" i="3"/>
  <c r="E50" i="3"/>
  <c r="J50" i="3" s="1"/>
  <c r="I50" i="3"/>
  <c r="E51" i="3"/>
  <c r="J51" i="3" s="1"/>
  <c r="I51" i="3"/>
  <c r="E52" i="3"/>
  <c r="J52" i="3" s="1"/>
  <c r="I52" i="3"/>
  <c r="E53" i="3"/>
  <c r="J53" i="3" s="1"/>
  <c r="I53" i="3"/>
  <c r="E54" i="3"/>
  <c r="J54" i="3" s="1"/>
  <c r="I54" i="3"/>
  <c r="E55" i="3"/>
  <c r="J55" i="3" s="1"/>
  <c r="I55" i="3"/>
  <c r="E56" i="3"/>
  <c r="J56" i="3" s="1"/>
  <c r="I56" i="3"/>
  <c r="E57" i="3"/>
  <c r="J57" i="3" s="1"/>
  <c r="I57" i="3"/>
  <c r="E58" i="3"/>
  <c r="J58" i="3" s="1"/>
  <c r="I58" i="3"/>
  <c r="E59" i="3"/>
  <c r="J59" i="3" s="1"/>
  <c r="I59" i="3"/>
  <c r="E60" i="3"/>
  <c r="J60" i="3" s="1"/>
  <c r="I60" i="3"/>
  <c r="E61" i="3"/>
  <c r="J61" i="3" s="1"/>
  <c r="I61" i="3"/>
  <c r="E62" i="3"/>
  <c r="J62" i="3" s="1"/>
  <c r="I62" i="3"/>
  <c r="E63" i="3"/>
  <c r="J63" i="3" s="1"/>
  <c r="I63" i="3"/>
  <c r="E64" i="3"/>
  <c r="J64" i="3" s="1"/>
  <c r="I64" i="3"/>
  <c r="E65" i="3"/>
  <c r="J65" i="3" s="1"/>
  <c r="I65" i="3"/>
  <c r="E66" i="3"/>
  <c r="J66" i="3" s="1"/>
  <c r="I66" i="3"/>
  <c r="E67" i="3"/>
  <c r="J67" i="3" s="1"/>
  <c r="I67" i="3"/>
  <c r="E68" i="3"/>
  <c r="J68" i="3" s="1"/>
  <c r="I68" i="3"/>
  <c r="E69" i="3"/>
  <c r="J69" i="3" s="1"/>
  <c r="I69" i="3"/>
  <c r="E70" i="3"/>
  <c r="J70" i="3" s="1"/>
  <c r="I70" i="3"/>
  <c r="E71" i="3"/>
  <c r="J71" i="3" s="1"/>
  <c r="I71" i="3"/>
  <c r="E72" i="3"/>
  <c r="J72" i="3" s="1"/>
  <c r="I72" i="3"/>
  <c r="E73" i="3"/>
  <c r="J73" i="3" s="1"/>
  <c r="I73" i="3"/>
  <c r="E74" i="3"/>
  <c r="J74" i="3" s="1"/>
  <c r="I74" i="3"/>
  <c r="E75" i="3"/>
  <c r="J75" i="3" s="1"/>
  <c r="I75" i="3"/>
  <c r="E76" i="3"/>
  <c r="J76" i="3" s="1"/>
  <c r="I76" i="3"/>
  <c r="E77" i="3"/>
  <c r="J77" i="3" s="1"/>
  <c r="I77" i="3"/>
  <c r="E78" i="3"/>
  <c r="J78" i="3" s="1"/>
  <c r="I78" i="3"/>
  <c r="E79" i="3"/>
  <c r="J79" i="3" s="1"/>
  <c r="I79" i="3"/>
  <c r="E80" i="3"/>
  <c r="J80" i="3" s="1"/>
  <c r="I80" i="3"/>
  <c r="E81" i="3"/>
  <c r="J81" i="3" s="1"/>
  <c r="I81" i="3"/>
  <c r="E82" i="3"/>
  <c r="J82" i="3" s="1"/>
  <c r="I82" i="3"/>
  <c r="E83" i="3"/>
  <c r="J83" i="3" s="1"/>
  <c r="I83" i="3"/>
  <c r="E84" i="3"/>
  <c r="J84" i="3" s="1"/>
  <c r="I84" i="3"/>
  <c r="E85" i="3"/>
  <c r="J85" i="3" s="1"/>
  <c r="I85" i="3"/>
  <c r="E86" i="3"/>
  <c r="J86" i="3" s="1"/>
  <c r="I86" i="3"/>
  <c r="E87" i="3"/>
  <c r="J87" i="3" s="1"/>
  <c r="I87" i="3"/>
  <c r="E88" i="3"/>
  <c r="J88" i="3" s="1"/>
  <c r="I88" i="3"/>
  <c r="E89" i="3"/>
  <c r="J89" i="3" s="1"/>
  <c r="I89" i="3"/>
  <c r="E90" i="3"/>
  <c r="J90" i="3" s="1"/>
  <c r="I90" i="3"/>
  <c r="E91" i="3"/>
  <c r="J91" i="3" s="1"/>
  <c r="I91" i="3"/>
  <c r="E92" i="3"/>
  <c r="J92" i="3" s="1"/>
  <c r="I92" i="3"/>
  <c r="E93" i="3"/>
  <c r="J93" i="3" s="1"/>
  <c r="I93" i="3"/>
  <c r="E94" i="3"/>
  <c r="J94" i="3" s="1"/>
  <c r="I94" i="3"/>
  <c r="E95" i="3"/>
  <c r="J95" i="3" s="1"/>
  <c r="I95" i="3"/>
  <c r="E96" i="3"/>
  <c r="J96" i="3" s="1"/>
  <c r="I96" i="3"/>
  <c r="E97" i="3"/>
  <c r="J97" i="3" s="1"/>
  <c r="I97" i="3"/>
  <c r="E98" i="3"/>
  <c r="J98" i="3" s="1"/>
  <c r="I98" i="3"/>
  <c r="E99" i="3"/>
  <c r="J99" i="3" s="1"/>
  <c r="I99" i="3"/>
  <c r="E100" i="3"/>
  <c r="J100" i="3" s="1"/>
  <c r="I100" i="3"/>
  <c r="E101" i="3"/>
  <c r="J101" i="3" s="1"/>
  <c r="I101" i="3"/>
  <c r="E102" i="3"/>
  <c r="J102" i="3" s="1"/>
  <c r="I102" i="3"/>
  <c r="E103" i="3"/>
  <c r="J103" i="3" s="1"/>
  <c r="I103" i="3"/>
  <c r="E104" i="3"/>
  <c r="J104" i="3" s="1"/>
  <c r="I104" i="3"/>
  <c r="E105" i="3"/>
  <c r="J105" i="3" s="1"/>
  <c r="I105" i="3"/>
  <c r="E106" i="3"/>
  <c r="J106" i="3" s="1"/>
  <c r="I106" i="3"/>
  <c r="E107" i="3"/>
  <c r="J107" i="3" s="1"/>
  <c r="I107" i="3"/>
  <c r="E108" i="3"/>
  <c r="J108" i="3" s="1"/>
  <c r="I108" i="3"/>
  <c r="E109" i="3"/>
  <c r="J109" i="3" s="1"/>
  <c r="I109" i="3"/>
  <c r="E110" i="3"/>
  <c r="J110" i="3" s="1"/>
  <c r="I110" i="3"/>
  <c r="E111" i="3"/>
  <c r="J111" i="3" s="1"/>
  <c r="I111" i="3"/>
  <c r="E112" i="3"/>
  <c r="J112" i="3" s="1"/>
  <c r="I112" i="3"/>
  <c r="E113" i="3"/>
  <c r="J113" i="3" s="1"/>
  <c r="I113" i="3"/>
  <c r="E114" i="3"/>
  <c r="J114" i="3" s="1"/>
  <c r="I114" i="3"/>
  <c r="E115" i="3"/>
  <c r="J115" i="3" s="1"/>
  <c r="I115" i="3"/>
  <c r="E116" i="3"/>
  <c r="J116" i="3" s="1"/>
  <c r="I116" i="3"/>
  <c r="E117" i="3"/>
  <c r="J117" i="3" s="1"/>
  <c r="I117" i="3"/>
  <c r="E118" i="3"/>
  <c r="J118" i="3" s="1"/>
  <c r="I118" i="3"/>
  <c r="E119" i="3"/>
  <c r="J119" i="3" s="1"/>
  <c r="I119" i="3"/>
  <c r="E120" i="3"/>
  <c r="J120" i="3" s="1"/>
  <c r="I120" i="3"/>
  <c r="E121" i="3"/>
  <c r="J121" i="3" s="1"/>
  <c r="I121" i="3"/>
  <c r="E122" i="3"/>
  <c r="J122" i="3" s="1"/>
  <c r="I122" i="3"/>
  <c r="E123" i="3"/>
  <c r="J123" i="3" s="1"/>
  <c r="I123" i="3"/>
  <c r="E124" i="3"/>
  <c r="J124" i="3" s="1"/>
  <c r="I124" i="3"/>
  <c r="E125" i="3"/>
  <c r="J125" i="3" s="1"/>
  <c r="I125" i="3"/>
  <c r="E126" i="3"/>
  <c r="J126" i="3" s="1"/>
  <c r="I126" i="3"/>
  <c r="E127" i="3"/>
  <c r="J127" i="3" s="1"/>
  <c r="I127" i="3"/>
  <c r="E128" i="3"/>
  <c r="J128" i="3" s="1"/>
  <c r="I128" i="3"/>
  <c r="E129" i="3"/>
  <c r="J129" i="3" s="1"/>
  <c r="I129" i="3"/>
  <c r="E130" i="3"/>
  <c r="J130" i="3" s="1"/>
  <c r="I130" i="3"/>
  <c r="E131" i="3"/>
  <c r="J131" i="3" s="1"/>
  <c r="I131" i="3"/>
  <c r="E132" i="3"/>
  <c r="J132" i="3" s="1"/>
  <c r="I132" i="3"/>
  <c r="E133" i="3"/>
  <c r="J133" i="3" s="1"/>
  <c r="I133" i="3"/>
  <c r="E134" i="3"/>
  <c r="J134" i="3" s="1"/>
  <c r="I134" i="3"/>
  <c r="E135" i="3"/>
  <c r="J135" i="3" s="1"/>
  <c r="I135" i="3"/>
  <c r="E136" i="3"/>
  <c r="J136" i="3" s="1"/>
  <c r="I136" i="3"/>
  <c r="E137" i="3"/>
  <c r="J137" i="3" s="1"/>
  <c r="I137" i="3"/>
  <c r="E138" i="3"/>
  <c r="J138" i="3" s="1"/>
  <c r="I138" i="3"/>
  <c r="E139" i="3"/>
  <c r="J139" i="3" s="1"/>
  <c r="I139" i="3"/>
  <c r="E140" i="3"/>
  <c r="J140" i="3" s="1"/>
  <c r="I140" i="3"/>
  <c r="E141" i="3"/>
  <c r="J141" i="3" s="1"/>
  <c r="I141" i="3"/>
  <c r="E142" i="3"/>
  <c r="J142" i="3" s="1"/>
  <c r="I142" i="3"/>
  <c r="E143" i="3"/>
  <c r="J143" i="3" s="1"/>
  <c r="I143" i="3"/>
  <c r="E144" i="3"/>
  <c r="J144" i="3" s="1"/>
  <c r="I144" i="3"/>
  <c r="E145" i="3"/>
  <c r="J145" i="3" s="1"/>
  <c r="I145" i="3"/>
  <c r="E146" i="3"/>
  <c r="J146" i="3" s="1"/>
  <c r="I146" i="3"/>
  <c r="E147" i="3"/>
  <c r="J147" i="3" s="1"/>
  <c r="I147" i="3"/>
  <c r="E148" i="3"/>
  <c r="J148" i="3" s="1"/>
  <c r="I148" i="3"/>
  <c r="E149" i="3"/>
  <c r="J149" i="3" s="1"/>
  <c r="I149" i="3"/>
  <c r="E150" i="3"/>
  <c r="J150" i="3" s="1"/>
  <c r="I150" i="3"/>
  <c r="E151" i="3"/>
  <c r="J151" i="3" s="1"/>
  <c r="I151" i="3"/>
  <c r="E152" i="3"/>
  <c r="J152" i="3" s="1"/>
  <c r="I152" i="3"/>
  <c r="E153" i="3"/>
  <c r="J153" i="3" s="1"/>
  <c r="I153" i="3"/>
  <c r="E154" i="3"/>
  <c r="J154" i="3" s="1"/>
  <c r="I154" i="3"/>
  <c r="E155" i="3"/>
  <c r="J155" i="3" s="1"/>
  <c r="I155" i="3"/>
  <c r="E156" i="3"/>
  <c r="J156" i="3" s="1"/>
  <c r="I156" i="3"/>
  <c r="E157" i="3"/>
  <c r="J157" i="3" s="1"/>
  <c r="I157" i="3"/>
  <c r="E158" i="3"/>
  <c r="J158" i="3" s="1"/>
  <c r="I158" i="3"/>
  <c r="E159" i="3"/>
  <c r="J159" i="3" s="1"/>
  <c r="I159" i="3"/>
  <c r="E160" i="3"/>
  <c r="J160" i="3" s="1"/>
  <c r="I160" i="3"/>
  <c r="E161" i="3"/>
  <c r="J161" i="3" s="1"/>
  <c r="I161" i="3"/>
  <c r="E162" i="3"/>
  <c r="J162" i="3" s="1"/>
  <c r="I162" i="3"/>
  <c r="E163" i="3"/>
  <c r="J163" i="3" s="1"/>
  <c r="I163" i="3"/>
  <c r="E164" i="3"/>
  <c r="J164" i="3" s="1"/>
  <c r="I164" i="3"/>
  <c r="E165" i="3"/>
  <c r="J165" i="3" s="1"/>
  <c r="I165" i="3"/>
  <c r="E166" i="3"/>
  <c r="J166" i="3" s="1"/>
  <c r="I166" i="3"/>
  <c r="E167" i="3"/>
  <c r="J167" i="3" s="1"/>
  <c r="I167" i="3"/>
  <c r="E168" i="3"/>
  <c r="J168" i="3" s="1"/>
  <c r="I168" i="3"/>
  <c r="E169" i="3"/>
  <c r="J169" i="3" s="1"/>
  <c r="I169" i="3"/>
  <c r="E170" i="3"/>
  <c r="J170" i="3" s="1"/>
  <c r="I170" i="3"/>
  <c r="E171" i="3"/>
  <c r="J171" i="3" s="1"/>
  <c r="I171" i="3"/>
  <c r="E172" i="3"/>
  <c r="J172" i="3" s="1"/>
  <c r="I172" i="3"/>
  <c r="E173" i="3"/>
  <c r="J173" i="3" s="1"/>
  <c r="I173" i="3"/>
  <c r="E174" i="3"/>
  <c r="J174" i="3" s="1"/>
  <c r="I174" i="3"/>
  <c r="E175" i="3"/>
  <c r="J175" i="3" s="1"/>
  <c r="I175" i="3"/>
  <c r="E176" i="3"/>
  <c r="J176" i="3" s="1"/>
  <c r="I176" i="3"/>
  <c r="E177" i="3"/>
  <c r="J177" i="3" s="1"/>
  <c r="I177" i="3"/>
  <c r="E178" i="3"/>
  <c r="J178" i="3" s="1"/>
  <c r="I178" i="3"/>
  <c r="E179" i="3"/>
  <c r="J179" i="3" s="1"/>
  <c r="I179" i="3"/>
  <c r="E180" i="3"/>
  <c r="J180" i="3" s="1"/>
  <c r="I180" i="3"/>
  <c r="E181" i="3"/>
  <c r="J181" i="3" s="1"/>
  <c r="I181" i="3"/>
  <c r="E182" i="3"/>
  <c r="J182" i="3" s="1"/>
  <c r="I182" i="3"/>
  <c r="E183" i="3"/>
  <c r="J183" i="3" s="1"/>
  <c r="I183" i="3"/>
  <c r="E184" i="3"/>
  <c r="J184" i="3" s="1"/>
  <c r="I184" i="3"/>
  <c r="E185" i="3"/>
  <c r="J185" i="3" s="1"/>
  <c r="I185" i="3"/>
  <c r="E186" i="3"/>
  <c r="J186" i="3" s="1"/>
  <c r="I186" i="3"/>
  <c r="E187" i="3"/>
  <c r="J187" i="3" s="1"/>
  <c r="I187" i="3"/>
  <c r="E188" i="3"/>
  <c r="J188" i="3" s="1"/>
  <c r="I188" i="3"/>
  <c r="E189" i="3"/>
  <c r="J189" i="3" s="1"/>
  <c r="I189" i="3"/>
  <c r="E190" i="3"/>
  <c r="J190" i="3" s="1"/>
  <c r="I190" i="3"/>
  <c r="E191" i="3"/>
  <c r="J191" i="3" s="1"/>
  <c r="I191" i="3"/>
  <c r="E192" i="3"/>
  <c r="J192" i="3" s="1"/>
  <c r="I192" i="3"/>
  <c r="E193" i="3"/>
  <c r="J193" i="3" s="1"/>
  <c r="I193" i="3"/>
  <c r="E194" i="3"/>
  <c r="J194" i="3" s="1"/>
  <c r="I194" i="3"/>
  <c r="E195" i="3"/>
  <c r="J195" i="3" s="1"/>
  <c r="I195" i="3"/>
  <c r="E196" i="3"/>
  <c r="J196" i="3" s="1"/>
  <c r="I196" i="3"/>
  <c r="E197" i="3"/>
  <c r="J197" i="3" s="1"/>
  <c r="I197" i="3"/>
  <c r="E198" i="3"/>
  <c r="J198" i="3" s="1"/>
  <c r="I198" i="3"/>
  <c r="E199" i="3"/>
  <c r="J199" i="3" s="1"/>
  <c r="I199" i="3"/>
  <c r="E200" i="3"/>
  <c r="J200" i="3" s="1"/>
  <c r="I200" i="3"/>
  <c r="E201" i="3"/>
  <c r="J201" i="3" s="1"/>
  <c r="I201" i="3"/>
  <c r="E202" i="3"/>
  <c r="J202" i="3" s="1"/>
  <c r="I202" i="3"/>
  <c r="E203" i="3"/>
  <c r="J203" i="3" s="1"/>
  <c r="I203" i="3"/>
  <c r="E204" i="3"/>
  <c r="J204" i="3" s="1"/>
  <c r="I204" i="3"/>
  <c r="E205" i="3"/>
  <c r="J205" i="3" s="1"/>
  <c r="I205" i="3"/>
  <c r="E206" i="3"/>
  <c r="J206" i="3" s="1"/>
  <c r="I206" i="3"/>
  <c r="E207" i="3"/>
  <c r="J207" i="3" s="1"/>
  <c r="I207" i="3"/>
  <c r="E208" i="3"/>
  <c r="J208" i="3" s="1"/>
  <c r="I208" i="3"/>
  <c r="E209" i="3"/>
  <c r="J209" i="3" s="1"/>
  <c r="I209" i="3"/>
  <c r="E210" i="3"/>
  <c r="J210" i="3" s="1"/>
  <c r="I210" i="3"/>
  <c r="E211" i="3"/>
  <c r="J211" i="3" s="1"/>
  <c r="I211" i="3"/>
  <c r="E212" i="3"/>
  <c r="J212" i="3" s="1"/>
  <c r="I212" i="3"/>
  <c r="E213" i="3"/>
  <c r="J213" i="3" s="1"/>
  <c r="I213" i="3"/>
  <c r="E214" i="3"/>
  <c r="J214" i="3" s="1"/>
  <c r="I214" i="3"/>
  <c r="E215" i="3"/>
  <c r="J215" i="3" s="1"/>
  <c r="I215" i="3"/>
  <c r="E216" i="3"/>
  <c r="J216" i="3" s="1"/>
  <c r="I216" i="3"/>
  <c r="E217" i="3"/>
  <c r="J217" i="3" s="1"/>
  <c r="I217" i="3"/>
  <c r="E218" i="3"/>
  <c r="J218" i="3" s="1"/>
  <c r="I218" i="3"/>
  <c r="E219" i="3"/>
  <c r="J219" i="3" s="1"/>
  <c r="I219" i="3"/>
  <c r="E220" i="3"/>
  <c r="J220" i="3" s="1"/>
  <c r="I220" i="3"/>
  <c r="E221" i="3"/>
  <c r="J221" i="3" s="1"/>
  <c r="I221" i="3"/>
  <c r="E222" i="3"/>
  <c r="J222" i="3" s="1"/>
  <c r="I222" i="3"/>
  <c r="E223" i="3"/>
  <c r="J223" i="3" s="1"/>
  <c r="I223" i="3"/>
  <c r="E224" i="3"/>
  <c r="J224" i="3" s="1"/>
  <c r="I224" i="3"/>
  <c r="E225" i="3"/>
  <c r="J225" i="3" s="1"/>
  <c r="I225" i="3"/>
  <c r="E226" i="3"/>
  <c r="J226" i="3" s="1"/>
  <c r="I226" i="3"/>
  <c r="E227" i="3"/>
  <c r="J227" i="3" s="1"/>
  <c r="I227" i="3"/>
  <c r="E228" i="3"/>
  <c r="J228" i="3" s="1"/>
  <c r="I228" i="3"/>
  <c r="E229" i="3"/>
  <c r="J229" i="3" s="1"/>
  <c r="I229" i="3"/>
  <c r="E230" i="3"/>
  <c r="J230" i="3" s="1"/>
  <c r="I230" i="3"/>
  <c r="E231" i="3"/>
  <c r="J231" i="3" s="1"/>
  <c r="I231" i="3"/>
  <c r="E232" i="3"/>
  <c r="J232" i="3" s="1"/>
  <c r="I232" i="3"/>
  <c r="E233" i="3"/>
  <c r="J233" i="3" s="1"/>
  <c r="I233" i="3"/>
  <c r="E234" i="3"/>
  <c r="J234" i="3" s="1"/>
  <c r="I234" i="3"/>
  <c r="E235" i="3"/>
  <c r="J235" i="3" s="1"/>
  <c r="I235" i="3"/>
  <c r="E236" i="3"/>
  <c r="J236" i="3" s="1"/>
  <c r="I236" i="3"/>
  <c r="E237" i="3"/>
  <c r="J237" i="3" s="1"/>
  <c r="I237" i="3"/>
  <c r="E238" i="3"/>
  <c r="J238" i="3" s="1"/>
  <c r="I238" i="3"/>
  <c r="E239" i="3"/>
  <c r="J239" i="3" s="1"/>
  <c r="I239" i="3"/>
  <c r="E240" i="3"/>
  <c r="J240" i="3" s="1"/>
  <c r="I240" i="3"/>
  <c r="E241" i="3"/>
  <c r="J241" i="3" s="1"/>
  <c r="I241" i="3"/>
  <c r="E242" i="3"/>
  <c r="J242" i="3" s="1"/>
  <c r="I242" i="3"/>
  <c r="E243" i="3"/>
  <c r="J243" i="3" s="1"/>
  <c r="I243" i="3"/>
  <c r="E244" i="3"/>
  <c r="J244" i="3" s="1"/>
  <c r="I244" i="3"/>
  <c r="E245" i="3"/>
  <c r="J245" i="3" s="1"/>
  <c r="I245" i="3"/>
  <c r="E246" i="3"/>
  <c r="J246" i="3" s="1"/>
  <c r="I246" i="3"/>
  <c r="E247" i="3"/>
  <c r="J247" i="3" s="1"/>
  <c r="I247" i="3"/>
  <c r="E248" i="3"/>
  <c r="J248" i="3" s="1"/>
  <c r="I248" i="3"/>
  <c r="E249" i="3"/>
  <c r="J249" i="3" s="1"/>
  <c r="I249" i="3"/>
  <c r="E250" i="3"/>
  <c r="J250" i="3" s="1"/>
  <c r="I250" i="3"/>
  <c r="E251" i="3"/>
  <c r="J251" i="3" s="1"/>
  <c r="I251" i="3"/>
  <c r="E252" i="3"/>
  <c r="J252" i="3" s="1"/>
  <c r="I252" i="3"/>
</calcChain>
</file>

<file path=xl/sharedStrings.xml><?xml version="1.0" encoding="utf-8"?>
<sst xmlns="http://schemas.openxmlformats.org/spreadsheetml/2006/main" count="538" uniqueCount="519">
  <si>
    <t>جزيرة ماريانا الشمالية</t>
  </si>
  <si>
    <t>اثيوبيا</t>
  </si>
  <si>
    <t>اذربيجان</t>
  </si>
  <si>
    <t>ارمينيا</t>
  </si>
  <si>
    <t>اروبا</t>
  </si>
  <si>
    <t>اريتيريا</t>
  </si>
  <si>
    <t>اسبانيا (سبتا و ماليلا)</t>
  </si>
  <si>
    <t>استراليا</t>
  </si>
  <si>
    <t>استونيا</t>
  </si>
  <si>
    <t>افغانستان</t>
  </si>
  <si>
    <t>اكوادور</t>
  </si>
  <si>
    <t>اكوتوريال جيونيا</t>
  </si>
  <si>
    <t>الارجنتين</t>
  </si>
  <si>
    <t>الازور</t>
  </si>
  <si>
    <t>الامارات العربيه</t>
  </si>
  <si>
    <t>البانيا</t>
  </si>
  <si>
    <t>البحرين</t>
  </si>
  <si>
    <t>البرازيل</t>
  </si>
  <si>
    <t>البرتغال</t>
  </si>
  <si>
    <t>البهاما</t>
  </si>
  <si>
    <t>البوسنه والهرسك</t>
  </si>
  <si>
    <t>البيليز</t>
  </si>
  <si>
    <t>الجبل الأسود</t>
  </si>
  <si>
    <t>الجزائر</t>
  </si>
  <si>
    <t>الجزر العذراء - الولايات المتحده</t>
  </si>
  <si>
    <t>الجزر العذراء - البريطانيه</t>
  </si>
  <si>
    <t>الجمهورية التشيكيه</t>
  </si>
  <si>
    <t xml:space="preserve">الدنمارك </t>
  </si>
  <si>
    <t>السلفادور</t>
  </si>
  <si>
    <t>السنغال</t>
  </si>
  <si>
    <t>السودان</t>
  </si>
  <si>
    <t>السويد</t>
  </si>
  <si>
    <t>السيشيل</t>
  </si>
  <si>
    <t>الصحراء الشغربيه</t>
  </si>
  <si>
    <t>الصومال</t>
  </si>
  <si>
    <t>الصين</t>
  </si>
  <si>
    <t>العراق (W)</t>
  </si>
  <si>
    <t>العربيه السعوديه</t>
  </si>
  <si>
    <t>الغابون</t>
  </si>
  <si>
    <t>الفاتيكان</t>
  </si>
  <si>
    <t>الفلبين</t>
  </si>
  <si>
    <t>القارة القطبية الجنوبية</t>
  </si>
  <si>
    <t>الكونجو</t>
  </si>
  <si>
    <t>الكويت</t>
  </si>
  <si>
    <t>المالديف</t>
  </si>
  <si>
    <t>المانيا</t>
  </si>
  <si>
    <t>المايترنيك</t>
  </si>
  <si>
    <t>المغرب</t>
  </si>
  <si>
    <t>المكسيك</t>
  </si>
  <si>
    <t>المملكة المتحده</t>
  </si>
  <si>
    <t>النرويج</t>
  </si>
  <si>
    <t xml:space="preserve">النمسا </t>
  </si>
  <si>
    <t>النيجر</t>
  </si>
  <si>
    <t>الهند</t>
  </si>
  <si>
    <t>الولايات المتحده</t>
  </si>
  <si>
    <t xml:space="preserve">اليابان </t>
  </si>
  <si>
    <t>اليمن</t>
  </si>
  <si>
    <t>اليونان</t>
  </si>
  <si>
    <t>انتيجوا وبوربودا</t>
  </si>
  <si>
    <t>انجيولا</t>
  </si>
  <si>
    <t xml:space="preserve">اندورا </t>
  </si>
  <si>
    <t>اندونيسيا</t>
  </si>
  <si>
    <t>انغولا</t>
  </si>
  <si>
    <t>اوروجواي</t>
  </si>
  <si>
    <t>اوزبكستان</t>
  </si>
  <si>
    <t>اوغندا</t>
  </si>
  <si>
    <t>اوكرانيا</t>
  </si>
  <si>
    <t xml:space="preserve">ايران </t>
  </si>
  <si>
    <t>ايرلندا</t>
  </si>
  <si>
    <t>ايطاليا</t>
  </si>
  <si>
    <t xml:space="preserve">ايرلندا الشمالية </t>
  </si>
  <si>
    <t>ابخازيا</t>
  </si>
  <si>
    <t>باربادوسا</t>
  </si>
  <si>
    <t>باكستان</t>
  </si>
  <si>
    <t>بالوا</t>
  </si>
  <si>
    <t>براجواي</t>
  </si>
  <si>
    <t>بلجيكا</t>
  </si>
  <si>
    <t>برمودا</t>
  </si>
  <si>
    <t>بلغاريا</t>
  </si>
  <si>
    <t>بنغلاديش</t>
  </si>
  <si>
    <t>بنما</t>
  </si>
  <si>
    <t>بوتان</t>
  </si>
  <si>
    <t>بورتو ريكو</t>
  </si>
  <si>
    <t>بوركينا فاسو</t>
  </si>
  <si>
    <t>بورما</t>
  </si>
  <si>
    <t>بوروندي</t>
  </si>
  <si>
    <t>بوروني</t>
  </si>
  <si>
    <t>بوستوانا</t>
  </si>
  <si>
    <t>بولندا</t>
  </si>
  <si>
    <t>بوليفيا</t>
  </si>
  <si>
    <t>بولينسيا الفرنسيه</t>
  </si>
  <si>
    <t>بيتكيرن</t>
  </si>
  <si>
    <t>بيرو</t>
  </si>
  <si>
    <t>بيلاروسا</t>
  </si>
  <si>
    <t>بينين</t>
  </si>
  <si>
    <t>تايلاند</t>
  </si>
  <si>
    <t>تايوان</t>
  </si>
  <si>
    <t>تركمستان</t>
  </si>
  <si>
    <t>تركيا</t>
  </si>
  <si>
    <t>ترينيداد وتوباجو</t>
  </si>
  <si>
    <t>تشاد</t>
  </si>
  <si>
    <t>تشيلي</t>
  </si>
  <si>
    <t>تنزانيا</t>
  </si>
  <si>
    <t>توجو</t>
  </si>
  <si>
    <t>توفالو</t>
  </si>
  <si>
    <t>تونجا</t>
  </si>
  <si>
    <t>تونس</t>
  </si>
  <si>
    <t>تيركس وكاكوس</t>
  </si>
  <si>
    <t>تيمور الشرقية</t>
  </si>
  <si>
    <t>جامايكا</t>
  </si>
  <si>
    <t>جامبيا</t>
  </si>
  <si>
    <t>جرينادا</t>
  </si>
  <si>
    <t>جرينلاند</t>
  </si>
  <si>
    <t>جزر الأنتيل الهولنديه</t>
  </si>
  <si>
    <t>جزر الصعود</t>
  </si>
  <si>
    <t xml:space="preserve">جزر الكاناري </t>
  </si>
  <si>
    <t>جزر القناة</t>
  </si>
  <si>
    <t>جزر الكريسماس</t>
  </si>
  <si>
    <t>جزر سليمان</t>
  </si>
  <si>
    <t>جزيرة المارشال</t>
  </si>
  <si>
    <t xml:space="preserve">جزيرة المان </t>
  </si>
  <si>
    <t>جزيرة بوفيت</t>
  </si>
  <si>
    <t>جزيرة رينيون</t>
  </si>
  <si>
    <t>جزيرة ساندويتش</t>
  </si>
  <si>
    <t>جزيرة فارو</t>
  </si>
  <si>
    <t>جزيرة كوك</t>
  </si>
  <si>
    <t>جزيرة كيمان</t>
  </si>
  <si>
    <t>جزيرة ماديرا</t>
  </si>
  <si>
    <t>جزيرة نور فولك</t>
  </si>
  <si>
    <t>جزيرة ويليس وفوتونا</t>
  </si>
  <si>
    <t>جمهورية افريقيا الوسطى</t>
  </si>
  <si>
    <t>جمهورية الدومتيكان</t>
  </si>
  <si>
    <t>جمهورية الكونغو</t>
  </si>
  <si>
    <t>جنوب أفريقيا</t>
  </si>
  <si>
    <t>جنوب السودان</t>
  </si>
  <si>
    <t>جواتيمالا</t>
  </si>
  <si>
    <t>جوادلوب</t>
  </si>
  <si>
    <t>جوام</t>
  </si>
  <si>
    <t>جورجيا</t>
  </si>
  <si>
    <t>جورجيا الجنوبية</t>
  </si>
  <si>
    <t>جويانا الفرنسية</t>
  </si>
  <si>
    <t>جيبر التار</t>
  </si>
  <si>
    <t>جيبوتي</t>
  </si>
  <si>
    <t>جيرسي</t>
  </si>
  <si>
    <t>دومينيكان</t>
  </si>
  <si>
    <t>رواندا</t>
  </si>
  <si>
    <t>روسيا</t>
  </si>
  <si>
    <t>رومانيا</t>
  </si>
  <si>
    <t>زامبيا</t>
  </si>
  <si>
    <t>زمبابوي</t>
  </si>
  <si>
    <t>ساحل العاج</t>
  </si>
  <si>
    <t>ساموا</t>
  </si>
  <si>
    <t>ساموا الأمريكية</t>
  </si>
  <si>
    <t>سان مارينو</t>
  </si>
  <si>
    <t>سانت بیار و ميكلون</t>
  </si>
  <si>
    <t>سانت فنيسنت وجرينادا</t>
  </si>
  <si>
    <t>سانت كيتس و نيفيس</t>
  </si>
  <si>
    <t>سانت لوسيا</t>
  </si>
  <si>
    <t>انت هيلينا</t>
  </si>
  <si>
    <t xml:space="preserve"> ساو تومي وبرينسيبي</t>
  </si>
  <si>
    <t>سريلانكا</t>
  </si>
  <si>
    <t>سفالبارد و جان مایان</t>
  </si>
  <si>
    <t>سكوتلندا</t>
  </si>
  <si>
    <t>سلوفاكيا</t>
  </si>
  <si>
    <t>سلوفينيا</t>
  </si>
  <si>
    <t>سنغافورة</t>
  </si>
  <si>
    <t>سوازيلاند</t>
  </si>
  <si>
    <t>سوريا (W)</t>
  </si>
  <si>
    <t>سورينام</t>
  </si>
  <si>
    <t>سويسرا</t>
  </si>
  <si>
    <t>سيراليون</t>
  </si>
  <si>
    <t>صربيا</t>
  </si>
  <si>
    <t>طاجكستان</t>
  </si>
  <si>
    <t>عمان</t>
  </si>
  <si>
    <t>غانا</t>
  </si>
  <si>
    <t>غويانا</t>
  </si>
  <si>
    <t>غينيا</t>
  </si>
  <si>
    <t>غينيا- بيساو</t>
  </si>
  <si>
    <t>غينيا الجديدة</t>
  </si>
  <si>
    <t>فانوتاو</t>
  </si>
  <si>
    <t xml:space="preserve">فرنسا </t>
  </si>
  <si>
    <t>فلسطين (W)</t>
  </si>
  <si>
    <t>فنزويلا</t>
  </si>
  <si>
    <t>فنلندا</t>
  </si>
  <si>
    <t>فوكالاند</t>
  </si>
  <si>
    <t>فيتنام</t>
  </si>
  <si>
    <t>فيجي</t>
  </si>
  <si>
    <t>قبرص</t>
  </si>
  <si>
    <t>قرغيستان</t>
  </si>
  <si>
    <t>قطر</t>
  </si>
  <si>
    <t>کارخستان</t>
  </si>
  <si>
    <t>كاليدونيا الجديدة</t>
  </si>
  <si>
    <t>كاميرون</t>
  </si>
  <si>
    <t>كرواتيا</t>
  </si>
  <si>
    <t>كمبوديا</t>
  </si>
  <si>
    <t>كندا</t>
  </si>
  <si>
    <t>كوبا</t>
  </si>
  <si>
    <t>كوريا الجنوبية</t>
  </si>
  <si>
    <t>كوريا الشمالية</t>
  </si>
  <si>
    <t>كوستاريكا</t>
  </si>
  <si>
    <t>كوسوفو</t>
  </si>
  <si>
    <t>كولومبيا</t>
  </si>
  <si>
    <t>كوموروس</t>
  </si>
  <si>
    <t>كيب فيردي</t>
  </si>
  <si>
    <t>كيريباتي</t>
  </si>
  <si>
    <t>كينيا</t>
  </si>
  <si>
    <t>لاتفيا</t>
  </si>
  <si>
    <t>لاوس</t>
  </si>
  <si>
    <t>لبنان</t>
  </si>
  <si>
    <t>لتوانيا</t>
  </si>
  <si>
    <t>لوكسمبورغ</t>
  </si>
  <si>
    <t>ليبيا (W)</t>
  </si>
  <si>
    <t>ليبيريا</t>
  </si>
  <si>
    <t>ليختنشتاین</t>
  </si>
  <si>
    <t>ليسوثو</t>
  </si>
  <si>
    <t>ماريتانيا</t>
  </si>
  <si>
    <t>ماسيدونا</t>
  </si>
  <si>
    <t>ماكاو</t>
  </si>
  <si>
    <t>مالاوي</t>
  </si>
  <si>
    <t>مالطة</t>
  </si>
  <si>
    <t>مالي</t>
  </si>
  <si>
    <t>ماليزيا</t>
  </si>
  <si>
    <t>مايوتي</t>
  </si>
  <si>
    <t>مدغشقر</t>
  </si>
  <si>
    <t>مصر</t>
  </si>
  <si>
    <t>منغوليا</t>
  </si>
  <si>
    <t>موريشوس</t>
  </si>
  <si>
    <t>موزمبيق</t>
  </si>
  <si>
    <t>مولدوفا</t>
  </si>
  <si>
    <t>موناكو</t>
  </si>
  <si>
    <t>مونسيرات</t>
  </si>
  <si>
    <t>ناميبيا</t>
  </si>
  <si>
    <t>ناورو</t>
  </si>
  <si>
    <t>نيبال</t>
  </si>
  <si>
    <t>نيجيريا</t>
  </si>
  <si>
    <t>نيكاراجوا</t>
  </si>
  <si>
    <t>نيوزيلندا</t>
  </si>
  <si>
    <t>هايتي</t>
  </si>
  <si>
    <t>هندوراس</t>
  </si>
  <si>
    <t>هنغاريا</t>
  </si>
  <si>
    <t>هولندا</t>
  </si>
  <si>
    <t>هونج كونغ</t>
  </si>
  <si>
    <t>والس</t>
  </si>
  <si>
    <t>يوغو سلافيا</t>
  </si>
  <si>
    <t>Area Code</t>
  </si>
  <si>
    <t>Fees</t>
  </si>
  <si>
    <t>Added Fees</t>
  </si>
  <si>
    <t>W</t>
  </si>
  <si>
    <t>Fees in JOD</t>
  </si>
  <si>
    <t>Fees in USD</t>
  </si>
  <si>
    <t>Country Name (Ar)</t>
  </si>
  <si>
    <t>Country Name (En)</t>
  </si>
  <si>
    <t>Syria (W)</t>
  </si>
  <si>
    <t>Palestine (W)</t>
  </si>
  <si>
    <t>Lebanon</t>
  </si>
  <si>
    <t>United Arab Emirates</t>
  </si>
  <si>
    <t>Bahrain</t>
  </si>
  <si>
    <t>Iraq (W)</t>
  </si>
  <si>
    <t>Saudi Arabia</t>
  </si>
  <si>
    <t>Kuwait</t>
  </si>
  <si>
    <t>India</t>
  </si>
  <si>
    <t>Pakistan</t>
  </si>
  <si>
    <t>Bangladesh</t>
  </si>
  <si>
    <t>Oman</t>
  </si>
  <si>
    <t>Qatar</t>
  </si>
  <si>
    <t>Egypt</t>
  </si>
  <si>
    <t>Portugal</t>
  </si>
  <si>
    <t>Denmark</t>
  </si>
  <si>
    <t>Sudan</t>
  </si>
  <si>
    <t>Sweden</t>
  </si>
  <si>
    <t>Germany</t>
  </si>
  <si>
    <t>Morocco</t>
  </si>
  <si>
    <t>United Kingdom</t>
  </si>
  <si>
    <t>Yemen</t>
  </si>
  <si>
    <t>Greece</t>
  </si>
  <si>
    <t>Uzbekistan</t>
  </si>
  <si>
    <t>Iran</t>
  </si>
  <si>
    <t>Ireland</t>
  </si>
  <si>
    <t>Italy</t>
  </si>
  <si>
    <t>Belgium</t>
  </si>
  <si>
    <t>Turkey</t>
  </si>
  <si>
    <t>Tunisia</t>
  </si>
  <si>
    <t>Sri Lanka</t>
  </si>
  <si>
    <t>Switzerland</t>
  </si>
  <si>
    <t>France</t>
  </si>
  <si>
    <t>Finland</t>
  </si>
  <si>
    <t>Cyprus</t>
  </si>
  <si>
    <t>Kazakhstan</t>
  </si>
  <si>
    <t>Libya (W)</t>
  </si>
  <si>
    <t>Monaco</t>
  </si>
  <si>
    <t>Australia</t>
  </si>
  <si>
    <t>China</t>
  </si>
  <si>
    <t>Philippines</t>
  </si>
  <si>
    <t>Norway</t>
  </si>
  <si>
    <t>Austria</t>
  </si>
  <si>
    <t>United States</t>
  </si>
  <si>
    <t>Indonesia</t>
  </si>
  <si>
    <t>Angola</t>
  </si>
  <si>
    <t>Thailand</t>
  </si>
  <si>
    <t>Taiwan</t>
  </si>
  <si>
    <t>Singapore</t>
  </si>
  <si>
    <t>Canada</t>
  </si>
  <si>
    <t>Kenya</t>
  </si>
  <si>
    <t>Luxembourg</t>
  </si>
  <si>
    <t>Malta</t>
  </si>
  <si>
    <t>Malaysia</t>
  </si>
  <si>
    <t>Nepal</t>
  </si>
  <si>
    <t>New Zealand</t>
  </si>
  <si>
    <t>Netherlands</t>
  </si>
  <si>
    <t>Hong Kong</t>
  </si>
  <si>
    <t>Northern Mariana Islands</t>
  </si>
  <si>
    <t>Ethiopia</t>
  </si>
  <si>
    <t>Azerbaijan</t>
  </si>
  <si>
    <t>Armenia</t>
  </si>
  <si>
    <t>Europe</t>
  </si>
  <si>
    <t>Eritrea</t>
  </si>
  <si>
    <t>Spain (Ceuta &amp; Melilla)</t>
  </si>
  <si>
    <t>Estonia</t>
  </si>
  <si>
    <t>Afghanistan</t>
  </si>
  <si>
    <t>Ecuador</t>
  </si>
  <si>
    <t>Equatorial Guinea</t>
  </si>
  <si>
    <t>Argentina</t>
  </si>
  <si>
    <t>Azores</t>
  </si>
  <si>
    <t>Albania</t>
  </si>
  <si>
    <t>Brazil</t>
  </si>
  <si>
    <t>Bahamas</t>
  </si>
  <si>
    <t>Bosnia and Herzegovina</t>
  </si>
  <si>
    <t>Belize</t>
  </si>
  <si>
    <t>Montenegro</t>
  </si>
  <si>
    <t>Algeria</t>
  </si>
  <si>
    <t>U.S. Virgin Islands</t>
  </si>
  <si>
    <t>British Virgin Islands</t>
  </si>
  <si>
    <t>Czech Republic</t>
  </si>
  <si>
    <t>El Salvador</t>
  </si>
  <si>
    <t>Senegal</t>
  </si>
  <si>
    <t>Seychelles</t>
  </si>
  <si>
    <t>Western Sahara</t>
  </si>
  <si>
    <t>Somalia</t>
  </si>
  <si>
    <t>Gabon</t>
  </si>
  <si>
    <t>Vatican</t>
  </si>
  <si>
    <t>Antarctica</t>
  </si>
  <si>
    <t>Congo</t>
  </si>
  <si>
    <t>Maldives</t>
  </si>
  <si>
    <t>Martinique</t>
  </si>
  <si>
    <t>Mexico</t>
  </si>
  <si>
    <t>Niger</t>
  </si>
  <si>
    <t>Japan</t>
  </si>
  <si>
    <t>Antigua and Barbuda</t>
  </si>
  <si>
    <t>Anguilla</t>
  </si>
  <si>
    <t>Andorra</t>
  </si>
  <si>
    <t>Uruguay</t>
  </si>
  <si>
    <t>Uganda</t>
  </si>
  <si>
    <t>Ukraine</t>
  </si>
  <si>
    <t>Northern Ireland</t>
  </si>
  <si>
    <t>Abkhazia</t>
  </si>
  <si>
    <t>Barbados</t>
  </si>
  <si>
    <t>Palau</t>
  </si>
  <si>
    <t>Paraguay</t>
  </si>
  <si>
    <t>Bermuda</t>
  </si>
  <si>
    <t>Bulgaria</t>
  </si>
  <si>
    <t>Panama</t>
  </si>
  <si>
    <t>Bhutan</t>
  </si>
  <si>
    <t>Puerto Rico</t>
  </si>
  <si>
    <t>Burkina Faso</t>
  </si>
  <si>
    <t>Myanmar (Burma)</t>
  </si>
  <si>
    <t>Burundi</t>
  </si>
  <si>
    <t>Brunei</t>
  </si>
  <si>
    <t>Botswana</t>
  </si>
  <si>
    <t>Poland</t>
  </si>
  <si>
    <t>Bolivia</t>
  </si>
  <si>
    <t>French Polynesia</t>
  </si>
  <si>
    <t>Pitcairn Islands</t>
  </si>
  <si>
    <t>Peru</t>
  </si>
  <si>
    <t>Belarus</t>
  </si>
  <si>
    <t>Benin</t>
  </si>
  <si>
    <t>Turkmenistan</t>
  </si>
  <si>
    <t>Trinidad and Tobago</t>
  </si>
  <si>
    <t>Chad</t>
  </si>
  <si>
    <t>Chile</t>
  </si>
  <si>
    <t>Tanzania</t>
  </si>
  <si>
    <t>Togo</t>
  </si>
  <si>
    <t>Tuvalu</t>
  </si>
  <si>
    <t>Tonga</t>
  </si>
  <si>
    <t>Turks and Caicos Islands</t>
  </si>
  <si>
    <t>Timor-Leste (East Timor)</t>
  </si>
  <si>
    <t>Jamaica</t>
  </si>
  <si>
    <t>Gambia</t>
  </si>
  <si>
    <t>Grenada</t>
  </si>
  <si>
    <t>Greenland</t>
  </si>
  <si>
    <t>Netherlands Antilles</t>
  </si>
  <si>
    <t>Ascension Island</t>
  </si>
  <si>
    <t>Canary Islands</t>
  </si>
  <si>
    <t>Channel Islands</t>
  </si>
  <si>
    <t>Christmas Island</t>
  </si>
  <si>
    <t>Solomon Islands</t>
  </si>
  <si>
    <t>Marshall Islands</t>
  </si>
  <si>
    <t>Isle of Man</t>
  </si>
  <si>
    <t>Bouvet Island</t>
  </si>
  <si>
    <t>Réunion</t>
  </si>
  <si>
    <t>South Sandwich Islands</t>
  </si>
  <si>
    <t>Faroe Islands</t>
  </si>
  <si>
    <t>Cook Islands</t>
  </si>
  <si>
    <t>Cayman Islands</t>
  </si>
  <si>
    <t>Madeira</t>
  </si>
  <si>
    <t>Norfolk Island</t>
  </si>
  <si>
    <t>Wallis and Futuna</t>
  </si>
  <si>
    <t>Central African Republic</t>
  </si>
  <si>
    <t>Dominican Republic</t>
  </si>
  <si>
    <t>Republic of the Congo</t>
  </si>
  <si>
    <t>South Africa</t>
  </si>
  <si>
    <t>South Sudan</t>
  </si>
  <si>
    <t>Guatemala</t>
  </si>
  <si>
    <t>Guadeloupe</t>
  </si>
  <si>
    <t>Guam</t>
  </si>
  <si>
    <t>Georgia</t>
  </si>
  <si>
    <t>South Georgia</t>
  </si>
  <si>
    <t>French Guiana</t>
  </si>
  <si>
    <t>Gibraltar</t>
  </si>
  <si>
    <t>Djibouti</t>
  </si>
  <si>
    <t>Jersey</t>
  </si>
  <si>
    <t>Dominica</t>
  </si>
  <si>
    <t>Rwanda</t>
  </si>
  <si>
    <t>Russia</t>
  </si>
  <si>
    <t>Romania</t>
  </si>
  <si>
    <t>Zambia</t>
  </si>
  <si>
    <t>Zimbabwe</t>
  </si>
  <si>
    <t>Ivory Coast (Côte d’Ivoire)</t>
  </si>
  <si>
    <t>Samoa</t>
  </si>
  <si>
    <t>American Samoa</t>
  </si>
  <si>
    <t>San Marino</t>
  </si>
  <si>
    <t>Saint Pierre and Miquelon</t>
  </si>
  <si>
    <t>Saint Vincent and the Grenadines</t>
  </si>
  <si>
    <t>Saint Kitts and Nevis</t>
  </si>
  <si>
    <t>Saint Lucia</t>
  </si>
  <si>
    <t>Saint Helena</t>
  </si>
  <si>
    <t>São Tomé and Príncipe</t>
  </si>
  <si>
    <t>Svalbard and Jan Mayen</t>
  </si>
  <si>
    <t>Scotland</t>
  </si>
  <si>
    <t>Slovakia</t>
  </si>
  <si>
    <t>Slovenia</t>
  </si>
  <si>
    <t>Eswatini (Swaziland)</t>
  </si>
  <si>
    <t>Suriname</t>
  </si>
  <si>
    <t>Sierra Leone</t>
  </si>
  <si>
    <t>Serbia</t>
  </si>
  <si>
    <t>Tajikistan</t>
  </si>
  <si>
    <t>Ghana</t>
  </si>
  <si>
    <t>Guyana</t>
  </si>
  <si>
    <t>Guinea</t>
  </si>
  <si>
    <t>Guinea-Bissau</t>
  </si>
  <si>
    <t>Papua New Guinea</t>
  </si>
  <si>
    <t>Vanuatu</t>
  </si>
  <si>
    <t>Venezuela</t>
  </si>
  <si>
    <t>Falkland Islands</t>
  </si>
  <si>
    <t>Vietnam</t>
  </si>
  <si>
    <t>Fiji</t>
  </si>
  <si>
    <t>Kyrgyzstan</t>
  </si>
  <si>
    <t>New Caledonia</t>
  </si>
  <si>
    <t>Cameroon</t>
  </si>
  <si>
    <t>Croatia</t>
  </si>
  <si>
    <t>Cambodia</t>
  </si>
  <si>
    <t>Cuba</t>
  </si>
  <si>
    <t>South Korea</t>
  </si>
  <si>
    <t>North Korea</t>
  </si>
  <si>
    <t>Costa Rica</t>
  </si>
  <si>
    <t>Kosovo</t>
  </si>
  <si>
    <t>Colombia</t>
  </si>
  <si>
    <t>Comoros</t>
  </si>
  <si>
    <t>Cape Verde</t>
  </si>
  <si>
    <t>Kiribati</t>
  </si>
  <si>
    <t>Latvia</t>
  </si>
  <si>
    <t>Laos</t>
  </si>
  <si>
    <t>Lithuania</t>
  </si>
  <si>
    <t>Liberia</t>
  </si>
  <si>
    <t>Liechtenstein</t>
  </si>
  <si>
    <t>Lesotho</t>
  </si>
  <si>
    <t>Mauritania</t>
  </si>
  <si>
    <t>North Macedonia</t>
  </si>
  <si>
    <t>Macau</t>
  </si>
  <si>
    <t>Malawi</t>
  </si>
  <si>
    <t>Mali</t>
  </si>
  <si>
    <t>Mayotte</t>
  </si>
  <si>
    <t>Madagascar</t>
  </si>
  <si>
    <t>Mongolia</t>
  </si>
  <si>
    <t>Mauritius</t>
  </si>
  <si>
    <t>Mozambique</t>
  </si>
  <si>
    <t>Moldova</t>
  </si>
  <si>
    <t>Montserrat</t>
  </si>
  <si>
    <t>Namibia</t>
  </si>
  <si>
    <t>Nauru</t>
  </si>
  <si>
    <t>Nigeria</t>
  </si>
  <si>
    <t>Nicaragua</t>
  </si>
  <si>
    <t>Haiti</t>
  </si>
  <si>
    <t>Honduras</t>
  </si>
  <si>
    <t>Hungary</t>
  </si>
  <si>
    <t>Wales</t>
  </si>
  <si>
    <t>Yugoslavia</t>
  </si>
  <si>
    <t>Special Conditions</t>
  </si>
  <si>
    <t>AC US</t>
  </si>
  <si>
    <t>AC WW</t>
  </si>
  <si>
    <t>SoD</t>
  </si>
  <si>
    <t>RD in US</t>
  </si>
  <si>
    <t>address correction for shipments delivered within the United States</t>
  </si>
  <si>
    <t>address correction for shipments delivered to countries other than the United States</t>
  </si>
  <si>
    <t>“Signature on Delivery” service for shipments delivered within the United States</t>
  </si>
  <si>
    <t>cover war-related risks and other contingencies</t>
  </si>
  <si>
    <t>residential address delivery within the United States, amounting to 7 JOD per package.</t>
  </si>
  <si>
    <t>Notes</t>
  </si>
  <si>
    <t>Added Fees JOD</t>
  </si>
  <si>
    <t>Added Fees USD</t>
  </si>
  <si>
    <t>Address correction for shipments delivered within the United States</t>
  </si>
  <si>
    <t>Total JOD</t>
  </si>
  <si>
    <t>Total USD</t>
  </si>
  <si>
    <t>Aramex Outbound (Outside of Jordan) - Express Delivery</t>
  </si>
  <si>
    <t>Aramex inbound (Inside of Jordan) - Express Delivery</t>
  </si>
  <si>
    <t>Governorate</t>
  </si>
  <si>
    <t>Amman</t>
  </si>
  <si>
    <t>All other Governorates</t>
  </si>
  <si>
    <t>Fees JOD</t>
  </si>
  <si>
    <t>Fees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</si>
</sst>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5" formatCode="_([$JOD]\ * #,##0.00_);_([$JOD]\ * \(#,##0.00\);_([$JOD]\ * &quot;-&quot;??_);_(@_)"/>
    <numFmt numFmtId="171" formatCode="_([$JOD]\ * #,##0_);_([$JOD]\ * \(#,##0\);_([$JOD]\ * &quot;-&quot;??_);_(@_)"/>
    <numFmt numFmtId="172" formatCode="_(&quot;$&quot;* #,##0.0_);_(&quot;$&quot;* \(#,##0.0\);_(&quot;$&quot;* &quot;-&quot;??_);_(@_)"/>
    <numFmt numFmtId="173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1"/>
      <name val="Calibri Light"/>
      <scheme val="major"/>
    </font>
    <font>
      <sz val="18"/>
      <color theme="1"/>
      <name val="Calibri"/>
      <family val="2"/>
      <scheme val="minor"/>
    </font>
    <font>
      <sz val="14"/>
      <color theme="1"/>
      <name val="Calibri Light"/>
      <scheme val="maj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 wrapText="1"/>
    </xf>
    <xf numFmtId="165" fontId="0" fillId="0" borderId="0" xfId="0" applyNumberFormat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/>
    <xf numFmtId="0" fontId="5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5" fillId="2" borderId="0" xfId="0" applyFont="1" applyFill="1" applyAlignment="1">
      <alignment horizontal="center"/>
    </xf>
    <xf numFmtId="0" fontId="13" fillId="0" borderId="0" xfId="0" applyFont="1"/>
    <xf numFmtId="171" fontId="9" fillId="0" borderId="0" xfId="0" applyNumberFormat="1" applyFont="1" applyAlignment="1">
      <alignment horizontal="center" vertical="center"/>
    </xf>
    <xf numFmtId="173" fontId="9" fillId="0" borderId="0" xfId="1" applyNumberFormat="1" applyFont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72" fontId="5" fillId="0" borderId="1" xfId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1" fontId="11" fillId="0" borderId="1" xfId="0" applyNumberFormat="1" applyFont="1" applyBorder="1" applyAlignment="1">
      <alignment horizontal="center" vertical="center"/>
    </xf>
    <xf numFmtId="173" fontId="11" fillId="0" borderId="1" xfId="1" applyNumberFormat="1" applyFont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/>
    </xf>
    <xf numFmtId="171" fontId="11" fillId="0" borderId="1" xfId="0" applyNumberFormat="1" applyFont="1" applyBorder="1"/>
    <xf numFmtId="173" fontId="11" fillId="0" borderId="1" xfId="1" applyNumberFormat="1" applyFont="1" applyBorder="1"/>
    <xf numFmtId="0" fontId="0" fillId="2" borderId="0" xfId="0" applyFill="1"/>
    <xf numFmtId="0" fontId="1" fillId="2" borderId="0" xfId="0" applyFont="1" applyFill="1" applyAlignment="1">
      <alignment wrapText="1"/>
    </xf>
    <xf numFmtId="0" fontId="10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173" fontId="11" fillId="2" borderId="0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2" fillId="2" borderId="0" xfId="0" applyFont="1" applyFill="1" applyAlignment="1">
      <alignment wrapText="1"/>
    </xf>
    <xf numFmtId="0" fontId="12" fillId="5" borderId="0" xfId="0" applyFont="1" applyFill="1" applyAlignment="1">
      <alignment horizontal="left" vertical="center"/>
    </xf>
    <xf numFmtId="44" fontId="12" fillId="5" borderId="0" xfId="1" applyFont="1" applyFill="1" applyAlignment="1">
      <alignment horizontal="left" vertical="center"/>
    </xf>
    <xf numFmtId="0" fontId="14" fillId="5" borderId="0" xfId="0" applyFont="1" applyFill="1" applyAlignment="1">
      <alignment horizontal="center" vertical="center" wrapText="1"/>
    </xf>
    <xf numFmtId="171" fontId="11" fillId="8" borderId="1" xfId="1" applyNumberFormat="1" applyFont="1" applyFill="1" applyBorder="1" applyAlignment="1">
      <alignment horizontal="center" vertical="center"/>
    </xf>
    <xf numFmtId="173" fontId="11" fillId="8" borderId="1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73" formatCode="_(&quot;$&quot;* #,##0_);_(&quot;$&quot;* \(#,##0\);_(&quot;$&quot;* &quot;-&quot;??_);_(@_)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71" formatCode="_([$JOD]\ * #,##0_);_([$JOD]\ * \(#,##0\);_([$JOD]\ * &quot;-&quot;??_);_(@_)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73" formatCode="_(&quot;$&quot;* #,##0_);_(&quot;$&quot;* \(#,##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3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1" formatCode="_([$JOD]\ * #,##0_);_([$JOD]\ * \(#,##0\);_([$JOD]\ * &quot;-&quot;??_);_(@_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71" formatCode="_([$JOD]\ * #,##0_);_([$JOD]\ * \(#,##0\);_([$JOD]\ 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72" formatCode="_(&quot;$&quot;* #,##0.0_);_(&quot;$&quot;* \(#,##0.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([$JOD]\ * #,##0.00_);_([$JOD]\ * \(#,##0.00\);_([$JOD]\ 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C4B62-9FD2-44F2-88F5-6C5517CD9EE5}" name="Table1" displayName="Table1" ref="A8:J252" totalsRowShown="0" headerRowDxfId="17" dataDxfId="16" tableBorderDxfId="18">
  <autoFilter ref="A8:J252" xr:uid="{781C4B62-9FD2-44F2-88F5-6C5517CD9EE5}"/>
  <tableColumns count="10">
    <tableColumn id="1" xr3:uid="{73666FF2-68A1-4F16-B83B-027B8DFFD013}" name="Country Name (Ar)" dataDxfId="15"/>
    <tableColumn id="6" xr3:uid="{0DE17AD9-6DBF-4FFD-8F36-58CD748A2D47}" name="Country Name (En)" dataDxfId="14"/>
    <tableColumn id="2" xr3:uid="{7B9D1B08-C27E-4F5F-BE35-F27CD9E7D89B}" name="Area Code" dataDxfId="13"/>
    <tableColumn id="3" xr3:uid="{51EB3321-F433-444D-81DB-50CC7C1B9548}" name="Fees in JOD" dataDxfId="12">
      <calculatedColumnFormula>_xlfn.XLOOKUP(C9, Sheet2!A:A, Sheet2!B:B)</calculatedColumnFormula>
    </tableColumn>
    <tableColumn id="4" xr3:uid="{C1E937C5-FC97-48C8-88F0-7964E42C50E9}" name="Fees in USD" dataDxfId="11" dataCellStyle="Currency">
      <calculatedColumnFormula>Table1[[#This Row],[Fees in JOD]]*1.4085</calculatedColumnFormula>
    </tableColumn>
    <tableColumn id="7" xr3:uid="{88AE9EB5-DEAE-4D5A-A9F0-81C0327D760E}" name="Special Conditions" dataDxfId="10" dataCellStyle="Currency"/>
    <tableColumn id="5" xr3:uid="{B8599876-BA50-4114-A5D9-2AC8BEF2AD7A}" name="Added Fees JOD" dataDxfId="9">
      <calculatedColumnFormula>_xlfn.XLOOKUP(F9, Sheet2!C:C, Sheet2!D:D)</calculatedColumnFormula>
    </tableColumn>
    <tableColumn id="8" xr3:uid="{886A3FC3-E353-41F5-9D85-57B1BE1F1099}" name="Added Fees USD" dataDxfId="2" dataCellStyle="Currency">
      <calculatedColumnFormula>Table1[[#This Row],[Added Fees JOD]]*1.4085</calculatedColumnFormula>
    </tableColumn>
    <tableColumn id="10" xr3:uid="{4D607208-C11C-403D-B39D-5DD516C7327F}" name="Total JOD" dataDxfId="1" dataCellStyle="Currency">
      <calculatedColumnFormula>Table1[[#This Row],[Fees in JOD]]+Table1[[#This Row],[Added Fees JOD]]</calculatedColumnFormula>
    </tableColumn>
    <tableColumn id="9" xr3:uid="{4175DC65-1CF4-475D-BA0C-712383715BE3}" name="Total USD" dataDxfId="0">
      <calculatedColumnFormula>Table1[[#This Row],[Fees in USD]]+Table1[[#This Row],[Added Fees USD]]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D69898-8BAE-4809-A10D-794E570258FF}" name="Table2" displayName="Table2" ref="L8:O13" totalsRowShown="0" headerRowDxfId="3" dataDxfId="8">
  <autoFilter ref="L8:O13" xr:uid="{7BD69898-8BAE-4809-A10D-794E570258FF}"/>
  <tableColumns count="4">
    <tableColumn id="1" xr3:uid="{0BFE57D7-CCBB-4CD2-94B0-25163C0EFC30}" name="Special Conditions" dataDxfId="7"/>
    <tableColumn id="2" xr3:uid="{A9EC2109-F3F4-4AA1-8CE0-FCC1719D5F3E}" name="Added Fees JOD" dataDxfId="6"/>
    <tableColumn id="3" xr3:uid="{695698D6-DFE9-4B10-9F3F-95AB71D02F8D}" name="Added Fees USD" dataDxfId="5" dataCellStyle="Currency">
      <calculatedColumnFormula>Table2[[#This Row],[Added Fees JOD]]*1.4085</calculatedColumnFormula>
    </tableColumn>
    <tableColumn id="4" xr3:uid="{C90857CD-0340-4A94-9C76-97A6C49C79CD}" name="Notes" dataDxfId="4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FA98-5136-4EDE-9554-2BE98CC4206D}">
  <dimension ref="A1:O259"/>
  <sheetViews>
    <sheetView tabSelected="1" zoomScale="55" zoomScaleNormal="55" workbookViewId="0">
      <selection activeCell="G2" sqref="G2"/>
    </sheetView>
  </sheetViews>
  <sheetFormatPr defaultRowHeight="18" x14ac:dyDescent="0.35"/>
  <cols>
    <col min="1" max="2" width="21.21875" customWidth="1"/>
    <col min="3" max="3" width="16.44140625" customWidth="1"/>
    <col min="4" max="4" width="20.33203125" customWidth="1"/>
    <col min="5" max="5" width="17.88671875" customWidth="1"/>
    <col min="6" max="6" width="21.6640625" customWidth="1"/>
    <col min="7" max="10" width="22.109375" customWidth="1"/>
    <col min="11" max="11" width="22.109375" style="35" customWidth="1"/>
    <col min="12" max="12" width="29.5546875" style="13" customWidth="1"/>
    <col min="13" max="13" width="24" style="13" customWidth="1"/>
    <col min="14" max="14" width="24.77734375" style="13" customWidth="1"/>
    <col min="15" max="15" width="100.21875" style="13" customWidth="1"/>
    <col min="17" max="17" width="8.88671875" customWidth="1"/>
  </cols>
  <sheetData>
    <row r="1" spans="1:15" s="6" customFormat="1" ht="36" customHeight="1" x14ac:dyDescent="0.6">
      <c r="A1" s="11" t="s">
        <v>513</v>
      </c>
      <c r="B1" s="11"/>
      <c r="C1" s="11"/>
      <c r="D1" s="11"/>
      <c r="E1" s="11"/>
      <c r="F1" s="11"/>
      <c r="G1" s="35"/>
      <c r="H1" s="35"/>
      <c r="I1" s="35"/>
      <c r="J1" s="35"/>
      <c r="K1" s="35"/>
      <c r="L1" s="35"/>
      <c r="M1" s="35"/>
      <c r="N1" s="35"/>
      <c r="O1" s="35"/>
    </row>
    <row r="2" spans="1:15" s="6" customFormat="1" ht="36" customHeight="1" x14ac:dyDescent="0.6">
      <c r="A2" s="30" t="s">
        <v>514</v>
      </c>
      <c r="B2" s="30"/>
      <c r="C2" s="30"/>
      <c r="D2" s="30"/>
      <c r="E2" s="31" t="s">
        <v>517</v>
      </c>
      <c r="F2" s="31" t="s">
        <v>518</v>
      </c>
      <c r="G2" s="35"/>
      <c r="H2" s="35"/>
      <c r="I2" s="35"/>
      <c r="J2" s="35"/>
      <c r="K2" s="35"/>
      <c r="L2" s="35"/>
      <c r="M2" s="35"/>
      <c r="N2" s="35"/>
      <c r="O2" s="35"/>
    </row>
    <row r="3" spans="1:15" s="6" customFormat="1" ht="36" customHeight="1" x14ac:dyDescent="0.6">
      <c r="A3" s="32" t="s">
        <v>515</v>
      </c>
      <c r="B3" s="32"/>
      <c r="C3" s="32"/>
      <c r="D3" s="32"/>
      <c r="E3" s="33">
        <v>2</v>
      </c>
      <c r="F3" s="34">
        <f>E3*1.4085</f>
        <v>2.8170000000000002</v>
      </c>
      <c r="G3" s="35"/>
      <c r="H3" s="35"/>
      <c r="I3" s="35"/>
      <c r="J3" s="35"/>
      <c r="K3" s="35"/>
      <c r="L3" s="35"/>
      <c r="M3" s="35"/>
      <c r="N3" s="35"/>
      <c r="O3" s="35"/>
    </row>
    <row r="4" spans="1:15" s="6" customFormat="1" ht="36" customHeight="1" x14ac:dyDescent="0.6">
      <c r="A4" s="32" t="s">
        <v>516</v>
      </c>
      <c r="B4" s="32"/>
      <c r="C4" s="32"/>
      <c r="D4" s="32"/>
      <c r="E4" s="33">
        <v>3</v>
      </c>
      <c r="F4" s="34">
        <f>E4*1.4085</f>
        <v>4.2255000000000003</v>
      </c>
      <c r="G4" s="35"/>
      <c r="H4" s="35"/>
      <c r="I4" s="35"/>
      <c r="J4" s="35"/>
      <c r="K4" s="35"/>
      <c r="L4" s="35"/>
      <c r="M4" s="35"/>
      <c r="N4" s="35"/>
      <c r="O4" s="35"/>
    </row>
    <row r="5" spans="1:15" s="6" customFormat="1" ht="36" customHeight="1" x14ac:dyDescent="0.6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15" s="6" customFormat="1" ht="36" customHeight="1" x14ac:dyDescent="0.6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spans="1:15" s="6" customFormat="1" ht="36" customHeight="1" x14ac:dyDescent="0.6">
      <c r="A7" s="11" t="s">
        <v>512</v>
      </c>
      <c r="B7" s="11"/>
      <c r="C7" s="11"/>
      <c r="D7" s="11"/>
      <c r="E7" s="11"/>
      <c r="F7" s="11"/>
      <c r="G7" s="11"/>
      <c r="H7" s="11"/>
      <c r="I7" s="11"/>
      <c r="J7" s="11"/>
      <c r="K7" s="38"/>
      <c r="L7" s="36"/>
      <c r="M7" s="36"/>
      <c r="N7" s="36"/>
      <c r="O7" s="36"/>
    </row>
    <row r="8" spans="1:15" s="9" customFormat="1" ht="49.5" customHeight="1" x14ac:dyDescent="0.3">
      <c r="A8" s="22" t="s">
        <v>250</v>
      </c>
      <c r="B8" s="22" t="s">
        <v>251</v>
      </c>
      <c r="C8" s="22" t="s">
        <v>244</v>
      </c>
      <c r="D8" s="22" t="s">
        <v>248</v>
      </c>
      <c r="E8" s="22" t="s">
        <v>249</v>
      </c>
      <c r="F8" s="22" t="s">
        <v>496</v>
      </c>
      <c r="G8" s="22" t="s">
        <v>507</v>
      </c>
      <c r="H8" s="22" t="s">
        <v>508</v>
      </c>
      <c r="I8" s="47" t="s">
        <v>510</v>
      </c>
      <c r="J8" s="47" t="s">
        <v>511</v>
      </c>
      <c r="K8" s="39"/>
      <c r="L8" s="45" t="s">
        <v>496</v>
      </c>
      <c r="M8" s="45" t="s">
        <v>507</v>
      </c>
      <c r="N8" s="46" t="s">
        <v>508</v>
      </c>
      <c r="O8" s="45" t="s">
        <v>506</v>
      </c>
    </row>
    <row r="9" spans="1:15" s="1" customFormat="1" ht="31.2" x14ac:dyDescent="0.6">
      <c r="A9" s="23" t="s">
        <v>167</v>
      </c>
      <c r="B9" s="23" t="s">
        <v>252</v>
      </c>
      <c r="C9" s="24">
        <v>1</v>
      </c>
      <c r="D9" s="25">
        <f>_xlfn.XLOOKUP(C9, Sheet2!A:A, Sheet2!B:B)</f>
        <v>5</v>
      </c>
      <c r="E9" s="26">
        <f>Table1[[#This Row],[Fees in JOD]]*1.4085</f>
        <v>7.0425000000000004</v>
      </c>
      <c r="F9" s="27" t="s">
        <v>247</v>
      </c>
      <c r="G9" s="28">
        <f>_xlfn.XLOOKUP(F9, Sheet2!C:C, Sheet2!D:D)</f>
        <v>10</v>
      </c>
      <c r="H9" s="29">
        <f>Table1[[#This Row],[Added Fees JOD]]*1.4085</f>
        <v>14.085000000000001</v>
      </c>
      <c r="I9" s="48">
        <f>Table1[[#This Row],[Fees in JOD]]+Table1[[#This Row],[Added Fees JOD]]</f>
        <v>15</v>
      </c>
      <c r="J9" s="49">
        <f>Table1[[#This Row],[Fees in USD]]+Table1[[#This Row],[Added Fees USD]]</f>
        <v>21.127500000000001</v>
      </c>
      <c r="K9" s="40"/>
      <c r="L9" s="19" t="s">
        <v>247</v>
      </c>
      <c r="M9" s="20">
        <v>10</v>
      </c>
      <c r="N9" s="21">
        <f>Table2[[#This Row],[Added Fees JOD]]*1.4085</f>
        <v>14.085000000000001</v>
      </c>
      <c r="O9" s="12" t="s">
        <v>504</v>
      </c>
    </row>
    <row r="10" spans="1:15" s="1" customFormat="1" ht="31.2" x14ac:dyDescent="0.6">
      <c r="A10" s="23" t="s">
        <v>181</v>
      </c>
      <c r="B10" s="23" t="s">
        <v>253</v>
      </c>
      <c r="C10" s="24">
        <v>1</v>
      </c>
      <c r="D10" s="25">
        <f>_xlfn.XLOOKUP(C10, Sheet2!A:A, Sheet2!B:B)</f>
        <v>5</v>
      </c>
      <c r="E10" s="26">
        <f>Table1[[#This Row],[Fees in JOD]]*1.4085</f>
        <v>7.0425000000000004</v>
      </c>
      <c r="F10" s="27" t="s">
        <v>247</v>
      </c>
      <c r="G10" s="28">
        <f>_xlfn.XLOOKUP(F10, Sheet2!C:C, Sheet2!D:D)</f>
        <v>10</v>
      </c>
      <c r="H10" s="29">
        <f>Table1[[#This Row],[Added Fees JOD]]*1.4085</f>
        <v>14.085000000000001</v>
      </c>
      <c r="I10" s="48">
        <f>Table1[[#This Row],[Fees in JOD]]+Table1[[#This Row],[Added Fees JOD]]</f>
        <v>15</v>
      </c>
      <c r="J10" s="49">
        <f>Table1[[#This Row],[Fees in USD]]+Table1[[#This Row],[Added Fees USD]]</f>
        <v>21.127500000000001</v>
      </c>
      <c r="K10" s="40"/>
      <c r="L10" s="19" t="s">
        <v>497</v>
      </c>
      <c r="M10" s="20">
        <v>10</v>
      </c>
      <c r="N10" s="21">
        <f>Table2[[#This Row],[Added Fees JOD]]*1.4085</f>
        <v>14.085000000000001</v>
      </c>
      <c r="O10" s="12" t="s">
        <v>509</v>
      </c>
    </row>
    <row r="11" spans="1:15" s="1" customFormat="1" ht="31.2" x14ac:dyDescent="0.6">
      <c r="A11" s="23" t="s">
        <v>208</v>
      </c>
      <c r="B11" s="23" t="s">
        <v>254</v>
      </c>
      <c r="C11" s="24">
        <v>1</v>
      </c>
      <c r="D11" s="25">
        <f>_xlfn.XLOOKUP(C11, Sheet2!A:A, Sheet2!B:B)</f>
        <v>5</v>
      </c>
      <c r="E11" s="26">
        <f>Table1[[#This Row],[Fees in JOD]]*1.4085</f>
        <v>7.0425000000000004</v>
      </c>
      <c r="F11" s="24"/>
      <c r="G11" s="28">
        <f>_xlfn.XLOOKUP(F11, Sheet2!C:C, Sheet2!D:D)</f>
        <v>0</v>
      </c>
      <c r="H11" s="29">
        <f>Table1[[#This Row],[Added Fees JOD]]*1.4085</f>
        <v>0</v>
      </c>
      <c r="I11" s="48">
        <f>Table1[[#This Row],[Fees in JOD]]+Table1[[#This Row],[Added Fees JOD]]</f>
        <v>5</v>
      </c>
      <c r="J11" s="49">
        <f>Table1[[#This Row],[Fees in USD]]+Table1[[#This Row],[Added Fees USD]]</f>
        <v>7.0425000000000004</v>
      </c>
      <c r="K11" s="40"/>
      <c r="L11" s="19" t="s">
        <v>498</v>
      </c>
      <c r="M11" s="20">
        <v>5</v>
      </c>
      <c r="N11" s="21">
        <f>Table2[[#This Row],[Added Fees JOD]]*1.4085</f>
        <v>7.0425000000000004</v>
      </c>
      <c r="O11" s="12" t="s">
        <v>502</v>
      </c>
    </row>
    <row r="12" spans="1:15" s="1" customFormat="1" ht="36" x14ac:dyDescent="0.6">
      <c r="A12" s="23" t="s">
        <v>14</v>
      </c>
      <c r="B12" s="23" t="s">
        <v>255</v>
      </c>
      <c r="C12" s="24">
        <v>2</v>
      </c>
      <c r="D12" s="25">
        <f>_xlfn.XLOOKUP(C12, Sheet2!A:A, Sheet2!B:B)</f>
        <v>6</v>
      </c>
      <c r="E12" s="26">
        <f>Table1[[#This Row],[Fees in JOD]]*1.4085</f>
        <v>8.4510000000000005</v>
      </c>
      <c r="F12" s="24"/>
      <c r="G12" s="28">
        <f>_xlfn.XLOOKUP(F12, Sheet2!C:C, Sheet2!D:D)</f>
        <v>0</v>
      </c>
      <c r="H12" s="29">
        <f>Table1[[#This Row],[Added Fees JOD]]*1.4085</f>
        <v>0</v>
      </c>
      <c r="I12" s="48">
        <f>Table1[[#This Row],[Fees in JOD]]+Table1[[#This Row],[Added Fees JOD]]</f>
        <v>6</v>
      </c>
      <c r="J12" s="49">
        <f>Table1[[#This Row],[Fees in USD]]+Table1[[#This Row],[Added Fees USD]]</f>
        <v>8.4510000000000005</v>
      </c>
      <c r="K12" s="40"/>
      <c r="L12" s="19" t="s">
        <v>499</v>
      </c>
      <c r="M12" s="20">
        <v>7</v>
      </c>
      <c r="N12" s="21">
        <f>Table2[[#This Row],[Added Fees JOD]]*1.4085</f>
        <v>9.8595000000000006</v>
      </c>
      <c r="O12" s="12" t="s">
        <v>503</v>
      </c>
    </row>
    <row r="13" spans="1:15" s="1" customFormat="1" ht="31.2" x14ac:dyDescent="0.6">
      <c r="A13" s="23" t="s">
        <v>16</v>
      </c>
      <c r="B13" s="23" t="s">
        <v>256</v>
      </c>
      <c r="C13" s="24">
        <v>2</v>
      </c>
      <c r="D13" s="25">
        <f>_xlfn.XLOOKUP(C13, Sheet2!A:A, Sheet2!B:B)</f>
        <v>6</v>
      </c>
      <c r="E13" s="26">
        <f>Table1[[#This Row],[Fees in JOD]]*1.4085</f>
        <v>8.4510000000000005</v>
      </c>
      <c r="F13" s="24"/>
      <c r="G13" s="28">
        <f>_xlfn.XLOOKUP(F13, Sheet2!C:C, Sheet2!D:D)</f>
        <v>0</v>
      </c>
      <c r="H13" s="29">
        <f>Table1[[#This Row],[Added Fees JOD]]*1.4085</f>
        <v>0</v>
      </c>
      <c r="I13" s="48">
        <f>Table1[[#This Row],[Fees in JOD]]+Table1[[#This Row],[Added Fees JOD]]</f>
        <v>6</v>
      </c>
      <c r="J13" s="49">
        <f>Table1[[#This Row],[Fees in USD]]+Table1[[#This Row],[Added Fees USD]]</f>
        <v>8.4510000000000005</v>
      </c>
      <c r="K13" s="40"/>
      <c r="L13" s="19" t="s">
        <v>500</v>
      </c>
      <c r="M13" s="20">
        <v>7</v>
      </c>
      <c r="N13" s="21">
        <f>Table2[[#This Row],[Added Fees JOD]]*1.4085</f>
        <v>9.8595000000000006</v>
      </c>
      <c r="O13" s="12" t="s">
        <v>505</v>
      </c>
    </row>
    <row r="14" spans="1:15" s="1" customFormat="1" ht="31.2" x14ac:dyDescent="0.6">
      <c r="A14" s="23" t="s">
        <v>36</v>
      </c>
      <c r="B14" s="23" t="s">
        <v>257</v>
      </c>
      <c r="C14" s="24">
        <v>2</v>
      </c>
      <c r="D14" s="25">
        <f>_xlfn.XLOOKUP(C14, Sheet2!A:A, Sheet2!B:B)</f>
        <v>6</v>
      </c>
      <c r="E14" s="26">
        <f>Table1[[#This Row],[Fees in JOD]]*1.4085</f>
        <v>8.4510000000000005</v>
      </c>
      <c r="F14" s="27" t="s">
        <v>247</v>
      </c>
      <c r="G14" s="28">
        <f>_xlfn.XLOOKUP(F14, Sheet2!C:C, Sheet2!D:D)</f>
        <v>10</v>
      </c>
      <c r="H14" s="29">
        <f>Table1[[#This Row],[Added Fees JOD]]*1.4085</f>
        <v>14.085000000000001</v>
      </c>
      <c r="I14" s="48">
        <f>Table1[[#This Row],[Fees in JOD]]+Table1[[#This Row],[Added Fees JOD]]</f>
        <v>16</v>
      </c>
      <c r="J14" s="49">
        <f>Table1[[#This Row],[Fees in USD]]+Table1[[#This Row],[Added Fees USD]]</f>
        <v>22.536000000000001</v>
      </c>
      <c r="K14" s="40"/>
      <c r="L14" s="37"/>
      <c r="M14" s="37"/>
      <c r="N14" s="37"/>
      <c r="O14" s="37"/>
    </row>
    <row r="15" spans="1:15" s="1" customFormat="1" ht="31.2" x14ac:dyDescent="0.6">
      <c r="A15" s="23" t="s">
        <v>37</v>
      </c>
      <c r="B15" s="23" t="s">
        <v>258</v>
      </c>
      <c r="C15" s="24">
        <v>2</v>
      </c>
      <c r="D15" s="25">
        <f>_xlfn.XLOOKUP(C15, Sheet2!A:A, Sheet2!B:B)</f>
        <v>6</v>
      </c>
      <c r="E15" s="26">
        <f>Table1[[#This Row],[Fees in JOD]]*1.4085</f>
        <v>8.4510000000000005</v>
      </c>
      <c r="F15" s="24"/>
      <c r="G15" s="28">
        <f>_xlfn.XLOOKUP(F15, Sheet2!C:C, Sheet2!D:D)</f>
        <v>0</v>
      </c>
      <c r="H15" s="29">
        <f>Table1[[#This Row],[Added Fees JOD]]*1.4085</f>
        <v>0</v>
      </c>
      <c r="I15" s="48">
        <f>Table1[[#This Row],[Fees in JOD]]+Table1[[#This Row],[Added Fees JOD]]</f>
        <v>6</v>
      </c>
      <c r="J15" s="49">
        <f>Table1[[#This Row],[Fees in USD]]+Table1[[#This Row],[Added Fees USD]]</f>
        <v>8.4510000000000005</v>
      </c>
      <c r="K15" s="40"/>
      <c r="L15" s="37"/>
      <c r="M15" s="37"/>
      <c r="N15" s="37"/>
      <c r="O15" s="37"/>
    </row>
    <row r="16" spans="1:15" s="1" customFormat="1" ht="31.2" x14ac:dyDescent="0.6">
      <c r="A16" s="23" t="s">
        <v>43</v>
      </c>
      <c r="B16" s="23" t="s">
        <v>259</v>
      </c>
      <c r="C16" s="24">
        <v>2</v>
      </c>
      <c r="D16" s="25">
        <f>_xlfn.XLOOKUP(C16, Sheet2!A:A, Sheet2!B:B)</f>
        <v>6</v>
      </c>
      <c r="E16" s="26">
        <f>Table1[[#This Row],[Fees in JOD]]*1.4085</f>
        <v>8.4510000000000005</v>
      </c>
      <c r="F16" s="24"/>
      <c r="G16" s="28">
        <f>_xlfn.XLOOKUP(F16, Sheet2!C:C, Sheet2!D:D)</f>
        <v>0</v>
      </c>
      <c r="H16" s="29">
        <f>Table1[[#This Row],[Added Fees JOD]]*1.4085</f>
        <v>0</v>
      </c>
      <c r="I16" s="48">
        <f>Table1[[#This Row],[Fees in JOD]]+Table1[[#This Row],[Added Fees JOD]]</f>
        <v>6</v>
      </c>
      <c r="J16" s="49">
        <f>Table1[[#This Row],[Fees in USD]]+Table1[[#This Row],[Added Fees USD]]</f>
        <v>8.4510000000000005</v>
      </c>
      <c r="K16" s="40"/>
      <c r="L16" s="37"/>
      <c r="M16" s="37"/>
      <c r="N16" s="37"/>
      <c r="O16" s="37"/>
    </row>
    <row r="17" spans="1:15" s="1" customFormat="1" ht="31.2" x14ac:dyDescent="0.6">
      <c r="A17" s="23" t="s">
        <v>53</v>
      </c>
      <c r="B17" s="23" t="s">
        <v>260</v>
      </c>
      <c r="C17" s="24">
        <v>2</v>
      </c>
      <c r="D17" s="25">
        <f>_xlfn.XLOOKUP(C17, Sheet2!A:A, Sheet2!B:B)</f>
        <v>6</v>
      </c>
      <c r="E17" s="26">
        <f>Table1[[#This Row],[Fees in JOD]]*1.4085</f>
        <v>8.4510000000000005</v>
      </c>
      <c r="F17" s="24"/>
      <c r="G17" s="28">
        <f>_xlfn.XLOOKUP(F17, Sheet2!C:C, Sheet2!D:D)</f>
        <v>0</v>
      </c>
      <c r="H17" s="29">
        <f>Table1[[#This Row],[Added Fees JOD]]*1.4085</f>
        <v>0</v>
      </c>
      <c r="I17" s="48">
        <f>Table1[[#This Row],[Fees in JOD]]+Table1[[#This Row],[Added Fees JOD]]</f>
        <v>6</v>
      </c>
      <c r="J17" s="49">
        <f>Table1[[#This Row],[Fees in USD]]+Table1[[#This Row],[Added Fees USD]]</f>
        <v>8.4510000000000005</v>
      </c>
      <c r="K17" s="40"/>
      <c r="L17" s="37"/>
      <c r="M17" s="37"/>
      <c r="N17" s="37"/>
      <c r="O17" s="37"/>
    </row>
    <row r="18" spans="1:15" s="1" customFormat="1" ht="31.2" x14ac:dyDescent="0.6">
      <c r="A18" s="23" t="s">
        <v>73</v>
      </c>
      <c r="B18" s="23" t="s">
        <v>261</v>
      </c>
      <c r="C18" s="24">
        <v>2</v>
      </c>
      <c r="D18" s="25">
        <f>_xlfn.XLOOKUP(C18, Sheet2!A:A, Sheet2!B:B)</f>
        <v>6</v>
      </c>
      <c r="E18" s="26">
        <f>Table1[[#This Row],[Fees in JOD]]*1.4085</f>
        <v>8.4510000000000005</v>
      </c>
      <c r="F18" s="24"/>
      <c r="G18" s="28">
        <f>_xlfn.XLOOKUP(F18, Sheet2!C:C, Sheet2!D:D)</f>
        <v>0</v>
      </c>
      <c r="H18" s="29">
        <f>Table1[[#This Row],[Added Fees JOD]]*1.4085</f>
        <v>0</v>
      </c>
      <c r="I18" s="48">
        <f>Table1[[#This Row],[Fees in JOD]]+Table1[[#This Row],[Added Fees JOD]]</f>
        <v>6</v>
      </c>
      <c r="J18" s="49">
        <f>Table1[[#This Row],[Fees in USD]]+Table1[[#This Row],[Added Fees USD]]</f>
        <v>8.4510000000000005</v>
      </c>
      <c r="K18" s="40"/>
      <c r="L18" s="37"/>
      <c r="M18" s="37"/>
      <c r="N18" s="37"/>
      <c r="O18" s="37"/>
    </row>
    <row r="19" spans="1:15" s="1" customFormat="1" ht="31.2" x14ac:dyDescent="0.6">
      <c r="A19" s="23" t="s">
        <v>79</v>
      </c>
      <c r="B19" s="23" t="s">
        <v>262</v>
      </c>
      <c r="C19" s="24">
        <v>2</v>
      </c>
      <c r="D19" s="25">
        <f>_xlfn.XLOOKUP(C19, Sheet2!A:A, Sheet2!B:B)</f>
        <v>6</v>
      </c>
      <c r="E19" s="26">
        <f>Table1[[#This Row],[Fees in JOD]]*1.4085</f>
        <v>8.4510000000000005</v>
      </c>
      <c r="F19" s="24"/>
      <c r="G19" s="28">
        <f>_xlfn.XLOOKUP(F19, Sheet2!C:C, Sheet2!D:D)</f>
        <v>0</v>
      </c>
      <c r="H19" s="29">
        <f>Table1[[#This Row],[Added Fees JOD]]*1.4085</f>
        <v>0</v>
      </c>
      <c r="I19" s="48">
        <f>Table1[[#This Row],[Fees in JOD]]+Table1[[#This Row],[Added Fees JOD]]</f>
        <v>6</v>
      </c>
      <c r="J19" s="49">
        <f>Table1[[#This Row],[Fees in USD]]+Table1[[#This Row],[Added Fees USD]]</f>
        <v>8.4510000000000005</v>
      </c>
      <c r="K19" s="40"/>
      <c r="L19" s="37"/>
      <c r="M19" s="37"/>
      <c r="N19" s="37"/>
      <c r="O19" s="37"/>
    </row>
    <row r="20" spans="1:15" s="1" customFormat="1" ht="31.2" x14ac:dyDescent="0.6">
      <c r="A20" s="23" t="s">
        <v>173</v>
      </c>
      <c r="B20" s="23" t="s">
        <v>263</v>
      </c>
      <c r="C20" s="24">
        <v>2</v>
      </c>
      <c r="D20" s="25">
        <f>_xlfn.XLOOKUP(C20, Sheet2!A:A, Sheet2!B:B)</f>
        <v>6</v>
      </c>
      <c r="E20" s="26">
        <f>Table1[[#This Row],[Fees in JOD]]*1.4085</f>
        <v>8.4510000000000005</v>
      </c>
      <c r="F20" s="24"/>
      <c r="G20" s="28">
        <f>_xlfn.XLOOKUP(F20, Sheet2!C:C, Sheet2!D:D)</f>
        <v>0</v>
      </c>
      <c r="H20" s="29">
        <f>Table1[[#This Row],[Added Fees JOD]]*1.4085</f>
        <v>0</v>
      </c>
      <c r="I20" s="48">
        <f>Table1[[#This Row],[Fees in JOD]]+Table1[[#This Row],[Added Fees JOD]]</f>
        <v>6</v>
      </c>
      <c r="J20" s="49">
        <f>Table1[[#This Row],[Fees in USD]]+Table1[[#This Row],[Added Fees USD]]</f>
        <v>8.4510000000000005</v>
      </c>
      <c r="K20" s="40"/>
      <c r="L20" s="37"/>
      <c r="M20" s="37"/>
      <c r="N20" s="37"/>
      <c r="O20" s="37"/>
    </row>
    <row r="21" spans="1:15" s="1" customFormat="1" ht="31.2" x14ac:dyDescent="0.6">
      <c r="A21" s="23" t="s">
        <v>189</v>
      </c>
      <c r="B21" s="23" t="s">
        <v>264</v>
      </c>
      <c r="C21" s="24">
        <v>2</v>
      </c>
      <c r="D21" s="25">
        <f>_xlfn.XLOOKUP(C21, Sheet2!A:A, Sheet2!B:B)</f>
        <v>6</v>
      </c>
      <c r="E21" s="26">
        <f>Table1[[#This Row],[Fees in JOD]]*1.4085</f>
        <v>8.4510000000000005</v>
      </c>
      <c r="F21" s="24"/>
      <c r="G21" s="28">
        <f>_xlfn.XLOOKUP(F21, Sheet2!C:C, Sheet2!D:D)</f>
        <v>0</v>
      </c>
      <c r="H21" s="29">
        <f>Table1[[#This Row],[Added Fees JOD]]*1.4085</f>
        <v>0</v>
      </c>
      <c r="I21" s="48">
        <f>Table1[[#This Row],[Fees in JOD]]+Table1[[#This Row],[Added Fees JOD]]</f>
        <v>6</v>
      </c>
      <c r="J21" s="49">
        <f>Table1[[#This Row],[Fees in USD]]+Table1[[#This Row],[Added Fees USD]]</f>
        <v>8.4510000000000005</v>
      </c>
      <c r="K21" s="40"/>
      <c r="L21" s="37"/>
      <c r="M21" s="37"/>
      <c r="N21" s="37"/>
      <c r="O21" s="37"/>
    </row>
    <row r="22" spans="1:15" s="1" customFormat="1" ht="31.2" x14ac:dyDescent="0.6">
      <c r="A22" s="23" t="s">
        <v>224</v>
      </c>
      <c r="B22" s="23" t="s">
        <v>265</v>
      </c>
      <c r="C22" s="24">
        <v>2</v>
      </c>
      <c r="D22" s="25">
        <f>_xlfn.XLOOKUP(C22, Sheet2!A:A, Sheet2!B:B)</f>
        <v>6</v>
      </c>
      <c r="E22" s="26">
        <f>Table1[[#This Row],[Fees in JOD]]*1.4085</f>
        <v>8.4510000000000005</v>
      </c>
      <c r="F22" s="24"/>
      <c r="G22" s="28">
        <f>_xlfn.XLOOKUP(F22, Sheet2!C:C, Sheet2!D:D)</f>
        <v>0</v>
      </c>
      <c r="H22" s="29">
        <f>Table1[[#This Row],[Added Fees JOD]]*1.4085</f>
        <v>0</v>
      </c>
      <c r="I22" s="48">
        <f>Table1[[#This Row],[Fees in JOD]]+Table1[[#This Row],[Added Fees JOD]]</f>
        <v>6</v>
      </c>
      <c r="J22" s="49">
        <f>Table1[[#This Row],[Fees in USD]]+Table1[[#This Row],[Added Fees USD]]</f>
        <v>8.4510000000000005</v>
      </c>
      <c r="K22" s="40"/>
      <c r="L22" s="37"/>
      <c r="M22" s="37"/>
      <c r="N22" s="37"/>
      <c r="O22" s="37"/>
    </row>
    <row r="23" spans="1:15" s="1" customFormat="1" ht="31.2" x14ac:dyDescent="0.6">
      <c r="A23" s="23" t="s">
        <v>18</v>
      </c>
      <c r="B23" s="23" t="s">
        <v>266</v>
      </c>
      <c r="C23" s="24">
        <v>3</v>
      </c>
      <c r="D23" s="25">
        <f>_xlfn.XLOOKUP(C23, Sheet2!A:A, Sheet2!B:B)</f>
        <v>7</v>
      </c>
      <c r="E23" s="26">
        <f>Table1[[#This Row],[Fees in JOD]]*1.4085</f>
        <v>9.8595000000000006</v>
      </c>
      <c r="F23" s="24"/>
      <c r="G23" s="28">
        <f>_xlfn.XLOOKUP(F23, Sheet2!C:C, Sheet2!D:D)</f>
        <v>0</v>
      </c>
      <c r="H23" s="29">
        <f>Table1[[#This Row],[Added Fees JOD]]*1.4085</f>
        <v>0</v>
      </c>
      <c r="I23" s="48">
        <f>Table1[[#This Row],[Fees in JOD]]+Table1[[#This Row],[Added Fees JOD]]</f>
        <v>7</v>
      </c>
      <c r="J23" s="49">
        <f>Table1[[#This Row],[Fees in USD]]+Table1[[#This Row],[Added Fees USD]]</f>
        <v>9.8595000000000006</v>
      </c>
      <c r="K23" s="40"/>
      <c r="L23" s="37"/>
      <c r="M23" s="37"/>
      <c r="N23" s="37"/>
      <c r="O23" s="37"/>
    </row>
    <row r="24" spans="1:15" s="1" customFormat="1" ht="31.2" x14ac:dyDescent="0.6">
      <c r="A24" s="23" t="s">
        <v>27</v>
      </c>
      <c r="B24" s="23" t="s">
        <v>267</v>
      </c>
      <c r="C24" s="24">
        <v>3</v>
      </c>
      <c r="D24" s="25">
        <f>_xlfn.XLOOKUP(C24, Sheet2!A:A, Sheet2!B:B)</f>
        <v>7</v>
      </c>
      <c r="E24" s="26">
        <f>Table1[[#This Row],[Fees in JOD]]*1.4085</f>
        <v>9.8595000000000006</v>
      </c>
      <c r="F24" s="24"/>
      <c r="G24" s="28">
        <f>_xlfn.XLOOKUP(F24, Sheet2!C:C, Sheet2!D:D)</f>
        <v>0</v>
      </c>
      <c r="H24" s="29">
        <f>Table1[[#This Row],[Added Fees JOD]]*1.4085</f>
        <v>0</v>
      </c>
      <c r="I24" s="48">
        <f>Table1[[#This Row],[Fees in JOD]]+Table1[[#This Row],[Added Fees JOD]]</f>
        <v>7</v>
      </c>
      <c r="J24" s="49">
        <f>Table1[[#This Row],[Fees in USD]]+Table1[[#This Row],[Added Fees USD]]</f>
        <v>9.8595000000000006</v>
      </c>
      <c r="K24" s="40"/>
      <c r="L24" s="37"/>
      <c r="M24" s="37"/>
      <c r="N24" s="37"/>
      <c r="O24" s="37"/>
    </row>
    <row r="25" spans="1:15" s="1" customFormat="1" ht="31.2" x14ac:dyDescent="0.6">
      <c r="A25" s="23" t="s">
        <v>30</v>
      </c>
      <c r="B25" s="23" t="s">
        <v>268</v>
      </c>
      <c r="C25" s="24">
        <v>3</v>
      </c>
      <c r="D25" s="25">
        <f>_xlfn.XLOOKUP(C25, Sheet2!A:A, Sheet2!B:B)</f>
        <v>7</v>
      </c>
      <c r="E25" s="26">
        <f>Table1[[#This Row],[Fees in JOD]]*1.4085</f>
        <v>9.8595000000000006</v>
      </c>
      <c r="F25" s="24"/>
      <c r="G25" s="28">
        <f>_xlfn.XLOOKUP(F25, Sheet2!C:C, Sheet2!D:D)</f>
        <v>0</v>
      </c>
      <c r="H25" s="29">
        <f>Table1[[#This Row],[Added Fees JOD]]*1.4085</f>
        <v>0</v>
      </c>
      <c r="I25" s="48">
        <f>Table1[[#This Row],[Fees in JOD]]+Table1[[#This Row],[Added Fees JOD]]</f>
        <v>7</v>
      </c>
      <c r="J25" s="49">
        <f>Table1[[#This Row],[Fees in USD]]+Table1[[#This Row],[Added Fees USD]]</f>
        <v>9.8595000000000006</v>
      </c>
      <c r="K25" s="40"/>
      <c r="L25" s="37"/>
      <c r="M25" s="37"/>
      <c r="N25" s="37"/>
      <c r="O25" s="37"/>
    </row>
    <row r="26" spans="1:15" s="1" customFormat="1" ht="31.2" x14ac:dyDescent="0.6">
      <c r="A26" s="23" t="s">
        <v>31</v>
      </c>
      <c r="B26" s="23" t="s">
        <v>269</v>
      </c>
      <c r="C26" s="24">
        <v>3</v>
      </c>
      <c r="D26" s="25">
        <f>_xlfn.XLOOKUP(C26, Sheet2!A:A, Sheet2!B:B)</f>
        <v>7</v>
      </c>
      <c r="E26" s="26">
        <f>Table1[[#This Row],[Fees in JOD]]*1.4085</f>
        <v>9.8595000000000006</v>
      </c>
      <c r="F26" s="24"/>
      <c r="G26" s="28">
        <f>_xlfn.XLOOKUP(F26, Sheet2!C:C, Sheet2!D:D)</f>
        <v>0</v>
      </c>
      <c r="H26" s="29">
        <f>Table1[[#This Row],[Added Fees JOD]]*1.4085</f>
        <v>0</v>
      </c>
      <c r="I26" s="48">
        <f>Table1[[#This Row],[Fees in JOD]]+Table1[[#This Row],[Added Fees JOD]]</f>
        <v>7</v>
      </c>
      <c r="J26" s="49">
        <f>Table1[[#This Row],[Fees in USD]]+Table1[[#This Row],[Added Fees USD]]</f>
        <v>9.8595000000000006</v>
      </c>
      <c r="K26" s="40"/>
      <c r="L26" s="37"/>
      <c r="M26" s="37"/>
      <c r="N26" s="37"/>
      <c r="O26" s="37"/>
    </row>
    <row r="27" spans="1:15" s="1" customFormat="1" ht="31.2" x14ac:dyDescent="0.6">
      <c r="A27" s="23" t="s">
        <v>45</v>
      </c>
      <c r="B27" s="23" t="s">
        <v>270</v>
      </c>
      <c r="C27" s="24">
        <v>3</v>
      </c>
      <c r="D27" s="25">
        <f>_xlfn.XLOOKUP(C27, Sheet2!A:A, Sheet2!B:B)</f>
        <v>7</v>
      </c>
      <c r="E27" s="26">
        <f>Table1[[#This Row],[Fees in JOD]]*1.4085</f>
        <v>9.8595000000000006</v>
      </c>
      <c r="F27" s="24"/>
      <c r="G27" s="28">
        <f>_xlfn.XLOOKUP(F27, Sheet2!C:C, Sheet2!D:D)</f>
        <v>0</v>
      </c>
      <c r="H27" s="29">
        <f>Table1[[#This Row],[Added Fees JOD]]*1.4085</f>
        <v>0</v>
      </c>
      <c r="I27" s="48">
        <f>Table1[[#This Row],[Fees in JOD]]+Table1[[#This Row],[Added Fees JOD]]</f>
        <v>7</v>
      </c>
      <c r="J27" s="49">
        <f>Table1[[#This Row],[Fees in USD]]+Table1[[#This Row],[Added Fees USD]]</f>
        <v>9.8595000000000006</v>
      </c>
      <c r="K27" s="40"/>
      <c r="L27" s="37"/>
      <c r="M27" s="37"/>
      <c r="N27" s="37"/>
      <c r="O27" s="37"/>
    </row>
    <row r="28" spans="1:15" s="1" customFormat="1" ht="31.2" x14ac:dyDescent="0.6">
      <c r="A28" s="23" t="s">
        <v>47</v>
      </c>
      <c r="B28" s="23" t="s">
        <v>271</v>
      </c>
      <c r="C28" s="24">
        <v>3</v>
      </c>
      <c r="D28" s="25">
        <f>_xlfn.XLOOKUP(C28, Sheet2!A:A, Sheet2!B:B)</f>
        <v>7</v>
      </c>
      <c r="E28" s="26">
        <f>Table1[[#This Row],[Fees in JOD]]*1.4085</f>
        <v>9.8595000000000006</v>
      </c>
      <c r="F28" s="24"/>
      <c r="G28" s="28">
        <f>_xlfn.XLOOKUP(F28, Sheet2!C:C, Sheet2!D:D)</f>
        <v>0</v>
      </c>
      <c r="H28" s="29">
        <f>Table1[[#This Row],[Added Fees JOD]]*1.4085</f>
        <v>0</v>
      </c>
      <c r="I28" s="48">
        <f>Table1[[#This Row],[Fees in JOD]]+Table1[[#This Row],[Added Fees JOD]]</f>
        <v>7</v>
      </c>
      <c r="J28" s="49">
        <f>Table1[[#This Row],[Fees in USD]]+Table1[[#This Row],[Added Fees USD]]</f>
        <v>9.8595000000000006</v>
      </c>
      <c r="K28" s="40"/>
      <c r="L28" s="37"/>
      <c r="M28" s="37"/>
      <c r="N28" s="37"/>
      <c r="O28" s="37"/>
    </row>
    <row r="29" spans="1:15" s="1" customFormat="1" ht="31.2" x14ac:dyDescent="0.6">
      <c r="A29" s="23" t="s">
        <v>49</v>
      </c>
      <c r="B29" s="23" t="s">
        <v>272</v>
      </c>
      <c r="C29" s="24">
        <v>3</v>
      </c>
      <c r="D29" s="25">
        <f>_xlfn.XLOOKUP(C29, Sheet2!A:A, Sheet2!B:B)</f>
        <v>7</v>
      </c>
      <c r="E29" s="26">
        <f>Table1[[#This Row],[Fees in JOD]]*1.4085</f>
        <v>9.8595000000000006</v>
      </c>
      <c r="F29" s="24"/>
      <c r="G29" s="28">
        <f>_xlfn.XLOOKUP(F29, Sheet2!C:C, Sheet2!D:D)</f>
        <v>0</v>
      </c>
      <c r="H29" s="29">
        <f>Table1[[#This Row],[Added Fees JOD]]*1.4085</f>
        <v>0</v>
      </c>
      <c r="I29" s="48">
        <f>Table1[[#This Row],[Fees in JOD]]+Table1[[#This Row],[Added Fees JOD]]</f>
        <v>7</v>
      </c>
      <c r="J29" s="49">
        <f>Table1[[#This Row],[Fees in USD]]+Table1[[#This Row],[Added Fees USD]]</f>
        <v>9.8595000000000006</v>
      </c>
      <c r="K29" s="40"/>
      <c r="L29" s="37"/>
      <c r="M29" s="37"/>
      <c r="N29" s="37"/>
      <c r="O29" s="37"/>
    </row>
    <row r="30" spans="1:15" s="1" customFormat="1" ht="31.2" x14ac:dyDescent="0.6">
      <c r="A30" s="23" t="s">
        <v>56</v>
      </c>
      <c r="B30" s="23" t="s">
        <v>273</v>
      </c>
      <c r="C30" s="24">
        <v>3</v>
      </c>
      <c r="D30" s="25">
        <f>_xlfn.XLOOKUP(C30, Sheet2!A:A, Sheet2!B:B)</f>
        <v>7</v>
      </c>
      <c r="E30" s="26">
        <f>Table1[[#This Row],[Fees in JOD]]*1.4085</f>
        <v>9.8595000000000006</v>
      </c>
      <c r="F30" s="24"/>
      <c r="G30" s="28">
        <f>_xlfn.XLOOKUP(F30, Sheet2!C:C, Sheet2!D:D)</f>
        <v>0</v>
      </c>
      <c r="H30" s="29">
        <f>Table1[[#This Row],[Added Fees JOD]]*1.4085</f>
        <v>0</v>
      </c>
      <c r="I30" s="48">
        <f>Table1[[#This Row],[Fees in JOD]]+Table1[[#This Row],[Added Fees JOD]]</f>
        <v>7</v>
      </c>
      <c r="J30" s="49">
        <f>Table1[[#This Row],[Fees in USD]]+Table1[[#This Row],[Added Fees USD]]</f>
        <v>9.8595000000000006</v>
      </c>
      <c r="K30" s="40"/>
      <c r="L30" s="37"/>
      <c r="M30" s="37"/>
      <c r="N30" s="37"/>
      <c r="O30" s="37"/>
    </row>
    <row r="31" spans="1:15" s="1" customFormat="1" ht="31.2" x14ac:dyDescent="0.6">
      <c r="A31" s="23" t="s">
        <v>57</v>
      </c>
      <c r="B31" s="23" t="s">
        <v>274</v>
      </c>
      <c r="C31" s="24">
        <v>3</v>
      </c>
      <c r="D31" s="25">
        <f>_xlfn.XLOOKUP(C31, Sheet2!A:A, Sheet2!B:B)</f>
        <v>7</v>
      </c>
      <c r="E31" s="26">
        <f>Table1[[#This Row],[Fees in JOD]]*1.4085</f>
        <v>9.8595000000000006</v>
      </c>
      <c r="F31" s="24"/>
      <c r="G31" s="28">
        <f>_xlfn.XLOOKUP(F31, Sheet2!C:C, Sheet2!D:D)</f>
        <v>0</v>
      </c>
      <c r="H31" s="29">
        <f>Table1[[#This Row],[Added Fees JOD]]*1.4085</f>
        <v>0</v>
      </c>
      <c r="I31" s="48">
        <f>Table1[[#This Row],[Fees in JOD]]+Table1[[#This Row],[Added Fees JOD]]</f>
        <v>7</v>
      </c>
      <c r="J31" s="49">
        <f>Table1[[#This Row],[Fees in USD]]+Table1[[#This Row],[Added Fees USD]]</f>
        <v>9.8595000000000006</v>
      </c>
      <c r="K31" s="40"/>
      <c r="L31" s="37"/>
      <c r="M31" s="37"/>
      <c r="N31" s="37"/>
      <c r="O31" s="37"/>
    </row>
    <row r="32" spans="1:15" s="1" customFormat="1" ht="31.2" x14ac:dyDescent="0.6">
      <c r="A32" s="23" t="s">
        <v>64</v>
      </c>
      <c r="B32" s="23" t="s">
        <v>275</v>
      </c>
      <c r="C32" s="24">
        <v>3</v>
      </c>
      <c r="D32" s="25">
        <f>_xlfn.XLOOKUP(C32, Sheet2!A:A, Sheet2!B:B)</f>
        <v>7</v>
      </c>
      <c r="E32" s="26">
        <f>Table1[[#This Row],[Fees in JOD]]*1.4085</f>
        <v>9.8595000000000006</v>
      </c>
      <c r="F32" s="24"/>
      <c r="G32" s="28">
        <f>_xlfn.XLOOKUP(F32, Sheet2!C:C, Sheet2!D:D)</f>
        <v>0</v>
      </c>
      <c r="H32" s="29">
        <f>Table1[[#This Row],[Added Fees JOD]]*1.4085</f>
        <v>0</v>
      </c>
      <c r="I32" s="48">
        <f>Table1[[#This Row],[Fees in JOD]]+Table1[[#This Row],[Added Fees JOD]]</f>
        <v>7</v>
      </c>
      <c r="J32" s="49">
        <f>Table1[[#This Row],[Fees in USD]]+Table1[[#This Row],[Added Fees USD]]</f>
        <v>9.8595000000000006</v>
      </c>
      <c r="K32" s="40"/>
      <c r="L32" s="37"/>
      <c r="M32" s="37"/>
      <c r="N32" s="37"/>
      <c r="O32" s="37"/>
    </row>
    <row r="33" spans="1:15" s="1" customFormat="1" ht="31.2" x14ac:dyDescent="0.6">
      <c r="A33" s="23" t="s">
        <v>67</v>
      </c>
      <c r="B33" s="23" t="s">
        <v>276</v>
      </c>
      <c r="C33" s="24">
        <v>3</v>
      </c>
      <c r="D33" s="25">
        <f>_xlfn.XLOOKUP(C33, Sheet2!A:A, Sheet2!B:B)</f>
        <v>7</v>
      </c>
      <c r="E33" s="26">
        <f>Table1[[#This Row],[Fees in JOD]]*1.4085</f>
        <v>9.8595000000000006</v>
      </c>
      <c r="F33" s="24"/>
      <c r="G33" s="28">
        <f>_xlfn.XLOOKUP(F33, Sheet2!C:C, Sheet2!D:D)</f>
        <v>0</v>
      </c>
      <c r="H33" s="29">
        <f>Table1[[#This Row],[Added Fees JOD]]*1.4085</f>
        <v>0</v>
      </c>
      <c r="I33" s="48">
        <f>Table1[[#This Row],[Fees in JOD]]+Table1[[#This Row],[Added Fees JOD]]</f>
        <v>7</v>
      </c>
      <c r="J33" s="49">
        <f>Table1[[#This Row],[Fees in USD]]+Table1[[#This Row],[Added Fees USD]]</f>
        <v>9.8595000000000006</v>
      </c>
      <c r="K33" s="40"/>
      <c r="L33" s="37"/>
      <c r="M33" s="37"/>
      <c r="N33" s="37"/>
      <c r="O33" s="37"/>
    </row>
    <row r="34" spans="1:15" s="1" customFormat="1" ht="31.2" x14ac:dyDescent="0.6">
      <c r="A34" s="23" t="s">
        <v>68</v>
      </c>
      <c r="B34" s="23" t="s">
        <v>277</v>
      </c>
      <c r="C34" s="24">
        <v>3</v>
      </c>
      <c r="D34" s="25">
        <f>_xlfn.XLOOKUP(C34, Sheet2!A:A, Sheet2!B:B)</f>
        <v>7</v>
      </c>
      <c r="E34" s="26">
        <f>Table1[[#This Row],[Fees in JOD]]*1.4085</f>
        <v>9.8595000000000006</v>
      </c>
      <c r="F34" s="24"/>
      <c r="G34" s="28">
        <f>_xlfn.XLOOKUP(F34, Sheet2!C:C, Sheet2!D:D)</f>
        <v>0</v>
      </c>
      <c r="H34" s="29">
        <f>Table1[[#This Row],[Added Fees JOD]]*1.4085</f>
        <v>0</v>
      </c>
      <c r="I34" s="48">
        <f>Table1[[#This Row],[Fees in JOD]]+Table1[[#This Row],[Added Fees JOD]]</f>
        <v>7</v>
      </c>
      <c r="J34" s="49">
        <f>Table1[[#This Row],[Fees in USD]]+Table1[[#This Row],[Added Fees USD]]</f>
        <v>9.8595000000000006</v>
      </c>
      <c r="K34" s="40"/>
      <c r="L34" s="37"/>
      <c r="M34" s="37"/>
      <c r="N34" s="37"/>
      <c r="O34" s="37"/>
    </row>
    <row r="35" spans="1:15" s="1" customFormat="1" ht="31.2" x14ac:dyDescent="0.6">
      <c r="A35" s="23" t="s">
        <v>69</v>
      </c>
      <c r="B35" s="23" t="s">
        <v>278</v>
      </c>
      <c r="C35" s="24">
        <v>3</v>
      </c>
      <c r="D35" s="25">
        <f>_xlfn.XLOOKUP(C35, Sheet2!A:A, Sheet2!B:B)</f>
        <v>7</v>
      </c>
      <c r="E35" s="26">
        <f>Table1[[#This Row],[Fees in JOD]]*1.4085</f>
        <v>9.8595000000000006</v>
      </c>
      <c r="F35" s="24"/>
      <c r="G35" s="28">
        <f>_xlfn.XLOOKUP(F35, Sheet2!C:C, Sheet2!D:D)</f>
        <v>0</v>
      </c>
      <c r="H35" s="29">
        <f>Table1[[#This Row],[Added Fees JOD]]*1.4085</f>
        <v>0</v>
      </c>
      <c r="I35" s="48">
        <f>Table1[[#This Row],[Fees in JOD]]+Table1[[#This Row],[Added Fees JOD]]</f>
        <v>7</v>
      </c>
      <c r="J35" s="49">
        <f>Table1[[#This Row],[Fees in USD]]+Table1[[#This Row],[Added Fees USD]]</f>
        <v>9.8595000000000006</v>
      </c>
      <c r="K35" s="40"/>
      <c r="L35" s="37"/>
      <c r="M35" s="37"/>
      <c r="N35" s="37"/>
      <c r="O35" s="37"/>
    </row>
    <row r="36" spans="1:15" s="1" customFormat="1" ht="31.2" x14ac:dyDescent="0.6">
      <c r="A36" s="23" t="s">
        <v>76</v>
      </c>
      <c r="B36" s="23" t="s">
        <v>279</v>
      </c>
      <c r="C36" s="24">
        <v>3</v>
      </c>
      <c r="D36" s="25">
        <f>_xlfn.XLOOKUP(C36, Sheet2!A:A, Sheet2!B:B)</f>
        <v>7</v>
      </c>
      <c r="E36" s="26">
        <f>Table1[[#This Row],[Fees in JOD]]*1.4085</f>
        <v>9.8595000000000006</v>
      </c>
      <c r="F36" s="24"/>
      <c r="G36" s="28">
        <f>_xlfn.XLOOKUP(F36, Sheet2!C:C, Sheet2!D:D)</f>
        <v>0</v>
      </c>
      <c r="H36" s="29">
        <f>Table1[[#This Row],[Added Fees JOD]]*1.4085</f>
        <v>0</v>
      </c>
      <c r="I36" s="48">
        <f>Table1[[#This Row],[Fees in JOD]]+Table1[[#This Row],[Added Fees JOD]]</f>
        <v>7</v>
      </c>
      <c r="J36" s="49">
        <f>Table1[[#This Row],[Fees in USD]]+Table1[[#This Row],[Added Fees USD]]</f>
        <v>9.8595000000000006</v>
      </c>
      <c r="K36" s="40"/>
      <c r="L36" s="37"/>
      <c r="M36" s="37"/>
      <c r="N36" s="37"/>
      <c r="O36" s="37"/>
    </row>
    <row r="37" spans="1:15" s="1" customFormat="1" ht="31.2" x14ac:dyDescent="0.6">
      <c r="A37" s="23" t="s">
        <v>98</v>
      </c>
      <c r="B37" s="23" t="s">
        <v>280</v>
      </c>
      <c r="C37" s="24">
        <v>3</v>
      </c>
      <c r="D37" s="25">
        <f>_xlfn.XLOOKUP(C37, Sheet2!A:A, Sheet2!B:B)</f>
        <v>7</v>
      </c>
      <c r="E37" s="26">
        <f>Table1[[#This Row],[Fees in JOD]]*1.4085</f>
        <v>9.8595000000000006</v>
      </c>
      <c r="F37" s="24"/>
      <c r="G37" s="28">
        <f>_xlfn.XLOOKUP(F37, Sheet2!C:C, Sheet2!D:D)</f>
        <v>0</v>
      </c>
      <c r="H37" s="29">
        <f>Table1[[#This Row],[Added Fees JOD]]*1.4085</f>
        <v>0</v>
      </c>
      <c r="I37" s="48">
        <f>Table1[[#This Row],[Fees in JOD]]+Table1[[#This Row],[Added Fees JOD]]</f>
        <v>7</v>
      </c>
      <c r="J37" s="49">
        <f>Table1[[#This Row],[Fees in USD]]+Table1[[#This Row],[Added Fees USD]]</f>
        <v>9.8595000000000006</v>
      </c>
      <c r="K37" s="40"/>
      <c r="L37" s="37"/>
      <c r="M37" s="37"/>
      <c r="N37" s="37"/>
      <c r="O37" s="37"/>
    </row>
    <row r="38" spans="1:15" s="1" customFormat="1" ht="31.2" x14ac:dyDescent="0.6">
      <c r="A38" s="23" t="s">
        <v>106</v>
      </c>
      <c r="B38" s="23" t="s">
        <v>281</v>
      </c>
      <c r="C38" s="24">
        <v>3</v>
      </c>
      <c r="D38" s="25">
        <f>_xlfn.XLOOKUP(C38, Sheet2!A:A, Sheet2!B:B)</f>
        <v>7</v>
      </c>
      <c r="E38" s="26">
        <f>Table1[[#This Row],[Fees in JOD]]*1.4085</f>
        <v>9.8595000000000006</v>
      </c>
      <c r="F38" s="24"/>
      <c r="G38" s="28">
        <f>_xlfn.XLOOKUP(F38, Sheet2!C:C, Sheet2!D:D)</f>
        <v>0</v>
      </c>
      <c r="H38" s="29">
        <f>Table1[[#This Row],[Added Fees JOD]]*1.4085</f>
        <v>0</v>
      </c>
      <c r="I38" s="48">
        <f>Table1[[#This Row],[Fees in JOD]]+Table1[[#This Row],[Added Fees JOD]]</f>
        <v>7</v>
      </c>
      <c r="J38" s="49">
        <f>Table1[[#This Row],[Fees in USD]]+Table1[[#This Row],[Added Fees USD]]</f>
        <v>9.8595000000000006</v>
      </c>
      <c r="K38" s="40"/>
      <c r="L38" s="37"/>
      <c r="M38" s="37"/>
      <c r="N38" s="37"/>
      <c r="O38" s="37"/>
    </row>
    <row r="39" spans="1:15" s="1" customFormat="1" ht="31.2" x14ac:dyDescent="0.6">
      <c r="A39" s="23" t="s">
        <v>160</v>
      </c>
      <c r="B39" s="23" t="s">
        <v>282</v>
      </c>
      <c r="C39" s="24">
        <v>3</v>
      </c>
      <c r="D39" s="25">
        <f>_xlfn.XLOOKUP(C39, Sheet2!A:A, Sheet2!B:B)</f>
        <v>7</v>
      </c>
      <c r="E39" s="26">
        <f>Table1[[#This Row],[Fees in JOD]]*1.4085</f>
        <v>9.8595000000000006</v>
      </c>
      <c r="F39" s="24"/>
      <c r="G39" s="28">
        <f>_xlfn.XLOOKUP(F39, Sheet2!C:C, Sheet2!D:D)</f>
        <v>0</v>
      </c>
      <c r="H39" s="29">
        <f>Table1[[#This Row],[Added Fees JOD]]*1.4085</f>
        <v>0</v>
      </c>
      <c r="I39" s="48">
        <f>Table1[[#This Row],[Fees in JOD]]+Table1[[#This Row],[Added Fees JOD]]</f>
        <v>7</v>
      </c>
      <c r="J39" s="49">
        <f>Table1[[#This Row],[Fees in USD]]+Table1[[#This Row],[Added Fees USD]]</f>
        <v>9.8595000000000006</v>
      </c>
      <c r="K39" s="40"/>
      <c r="L39" s="37"/>
      <c r="M39" s="37"/>
      <c r="N39" s="37"/>
      <c r="O39" s="37"/>
    </row>
    <row r="40" spans="1:15" s="1" customFormat="1" ht="31.2" x14ac:dyDescent="0.6">
      <c r="A40" s="23" t="s">
        <v>169</v>
      </c>
      <c r="B40" s="23" t="s">
        <v>283</v>
      </c>
      <c r="C40" s="24">
        <v>3</v>
      </c>
      <c r="D40" s="25">
        <f>_xlfn.XLOOKUP(C40, Sheet2!A:A, Sheet2!B:B)</f>
        <v>7</v>
      </c>
      <c r="E40" s="26">
        <f>Table1[[#This Row],[Fees in JOD]]*1.4085</f>
        <v>9.8595000000000006</v>
      </c>
      <c r="F40" s="24"/>
      <c r="G40" s="28">
        <f>_xlfn.XLOOKUP(F40, Sheet2!C:C, Sheet2!D:D)</f>
        <v>0</v>
      </c>
      <c r="H40" s="29">
        <f>Table1[[#This Row],[Added Fees JOD]]*1.4085</f>
        <v>0</v>
      </c>
      <c r="I40" s="48">
        <f>Table1[[#This Row],[Fees in JOD]]+Table1[[#This Row],[Added Fees JOD]]</f>
        <v>7</v>
      </c>
      <c r="J40" s="49">
        <f>Table1[[#This Row],[Fees in USD]]+Table1[[#This Row],[Added Fees USD]]</f>
        <v>9.8595000000000006</v>
      </c>
      <c r="K40" s="40"/>
      <c r="L40" s="37"/>
      <c r="M40" s="37"/>
      <c r="N40" s="37"/>
      <c r="O40" s="37"/>
    </row>
    <row r="41" spans="1:15" s="1" customFormat="1" ht="31.2" x14ac:dyDescent="0.6">
      <c r="A41" s="23" t="s">
        <v>180</v>
      </c>
      <c r="B41" s="23" t="s">
        <v>284</v>
      </c>
      <c r="C41" s="24">
        <v>3</v>
      </c>
      <c r="D41" s="25">
        <f>_xlfn.XLOOKUP(C41, Sheet2!A:A, Sheet2!B:B)</f>
        <v>7</v>
      </c>
      <c r="E41" s="26">
        <f>Table1[[#This Row],[Fees in JOD]]*1.4085</f>
        <v>9.8595000000000006</v>
      </c>
      <c r="F41" s="24"/>
      <c r="G41" s="28">
        <f>_xlfn.XLOOKUP(F41, Sheet2!C:C, Sheet2!D:D)</f>
        <v>0</v>
      </c>
      <c r="H41" s="29">
        <f>Table1[[#This Row],[Added Fees JOD]]*1.4085</f>
        <v>0</v>
      </c>
      <c r="I41" s="48">
        <f>Table1[[#This Row],[Fees in JOD]]+Table1[[#This Row],[Added Fees JOD]]</f>
        <v>7</v>
      </c>
      <c r="J41" s="49">
        <f>Table1[[#This Row],[Fees in USD]]+Table1[[#This Row],[Added Fees USD]]</f>
        <v>9.8595000000000006</v>
      </c>
      <c r="K41" s="40"/>
      <c r="L41" s="37"/>
      <c r="M41" s="37"/>
      <c r="N41" s="37"/>
      <c r="O41" s="37"/>
    </row>
    <row r="42" spans="1:15" s="1" customFormat="1" ht="31.2" x14ac:dyDescent="0.6">
      <c r="A42" s="23" t="s">
        <v>183</v>
      </c>
      <c r="B42" s="23" t="s">
        <v>285</v>
      </c>
      <c r="C42" s="24">
        <v>3</v>
      </c>
      <c r="D42" s="25">
        <f>_xlfn.XLOOKUP(C42, Sheet2!A:A, Sheet2!B:B)</f>
        <v>7</v>
      </c>
      <c r="E42" s="26">
        <f>Table1[[#This Row],[Fees in JOD]]*1.4085</f>
        <v>9.8595000000000006</v>
      </c>
      <c r="F42" s="24"/>
      <c r="G42" s="28">
        <f>_xlfn.XLOOKUP(F42, Sheet2!C:C, Sheet2!D:D)</f>
        <v>0</v>
      </c>
      <c r="H42" s="29">
        <f>Table1[[#This Row],[Added Fees JOD]]*1.4085</f>
        <v>0</v>
      </c>
      <c r="I42" s="48">
        <f>Table1[[#This Row],[Fees in JOD]]+Table1[[#This Row],[Added Fees JOD]]</f>
        <v>7</v>
      </c>
      <c r="J42" s="49">
        <f>Table1[[#This Row],[Fees in USD]]+Table1[[#This Row],[Added Fees USD]]</f>
        <v>9.8595000000000006</v>
      </c>
      <c r="K42" s="40"/>
      <c r="L42" s="37"/>
      <c r="M42" s="37"/>
      <c r="N42" s="37"/>
      <c r="O42" s="37"/>
    </row>
    <row r="43" spans="1:15" s="1" customFormat="1" ht="31.2" x14ac:dyDescent="0.6">
      <c r="A43" s="23" t="s">
        <v>187</v>
      </c>
      <c r="B43" s="23" t="s">
        <v>286</v>
      </c>
      <c r="C43" s="24">
        <v>3</v>
      </c>
      <c r="D43" s="25">
        <f>_xlfn.XLOOKUP(C43, Sheet2!A:A, Sheet2!B:B)</f>
        <v>7</v>
      </c>
      <c r="E43" s="26">
        <f>Table1[[#This Row],[Fees in JOD]]*1.4085</f>
        <v>9.8595000000000006</v>
      </c>
      <c r="F43" s="24"/>
      <c r="G43" s="28">
        <f>_xlfn.XLOOKUP(F43, Sheet2!C:C, Sheet2!D:D)</f>
        <v>0</v>
      </c>
      <c r="H43" s="29">
        <f>Table1[[#This Row],[Added Fees JOD]]*1.4085</f>
        <v>0</v>
      </c>
      <c r="I43" s="48">
        <f>Table1[[#This Row],[Fees in JOD]]+Table1[[#This Row],[Added Fees JOD]]</f>
        <v>7</v>
      </c>
      <c r="J43" s="49">
        <f>Table1[[#This Row],[Fees in USD]]+Table1[[#This Row],[Added Fees USD]]</f>
        <v>9.8595000000000006</v>
      </c>
      <c r="K43" s="40"/>
      <c r="L43" s="37"/>
      <c r="M43" s="37"/>
      <c r="N43" s="37"/>
      <c r="O43" s="37"/>
    </row>
    <row r="44" spans="1:15" s="1" customFormat="1" ht="31.2" x14ac:dyDescent="0.6">
      <c r="A44" s="23" t="s">
        <v>190</v>
      </c>
      <c r="B44" s="23" t="s">
        <v>287</v>
      </c>
      <c r="C44" s="24">
        <v>3</v>
      </c>
      <c r="D44" s="25">
        <f>_xlfn.XLOOKUP(C44, Sheet2!A:A, Sheet2!B:B)</f>
        <v>7</v>
      </c>
      <c r="E44" s="26">
        <f>Table1[[#This Row],[Fees in JOD]]*1.4085</f>
        <v>9.8595000000000006</v>
      </c>
      <c r="F44" s="24"/>
      <c r="G44" s="28">
        <f>_xlfn.XLOOKUP(F44, Sheet2!C:C, Sheet2!D:D)</f>
        <v>0</v>
      </c>
      <c r="H44" s="29">
        <f>Table1[[#This Row],[Added Fees JOD]]*1.4085</f>
        <v>0</v>
      </c>
      <c r="I44" s="48">
        <f>Table1[[#This Row],[Fees in JOD]]+Table1[[#This Row],[Added Fees JOD]]</f>
        <v>7</v>
      </c>
      <c r="J44" s="49">
        <f>Table1[[#This Row],[Fees in USD]]+Table1[[#This Row],[Added Fees USD]]</f>
        <v>9.8595000000000006</v>
      </c>
      <c r="K44" s="40"/>
      <c r="L44" s="37"/>
      <c r="M44" s="37"/>
      <c r="N44" s="37"/>
      <c r="O44" s="37"/>
    </row>
    <row r="45" spans="1:15" s="1" customFormat="1" ht="31.2" x14ac:dyDescent="0.6">
      <c r="A45" s="23" t="s">
        <v>211</v>
      </c>
      <c r="B45" s="23" t="s">
        <v>288</v>
      </c>
      <c r="C45" s="24">
        <v>3</v>
      </c>
      <c r="D45" s="25">
        <f>_xlfn.XLOOKUP(C45, Sheet2!A:A, Sheet2!B:B)</f>
        <v>7</v>
      </c>
      <c r="E45" s="26">
        <f>Table1[[#This Row],[Fees in JOD]]*1.4085</f>
        <v>9.8595000000000006</v>
      </c>
      <c r="F45" s="27" t="s">
        <v>247</v>
      </c>
      <c r="G45" s="28">
        <f>_xlfn.XLOOKUP(F45, Sheet2!C:C, Sheet2!D:D)</f>
        <v>10</v>
      </c>
      <c r="H45" s="29">
        <f>Table1[[#This Row],[Added Fees JOD]]*1.4085</f>
        <v>14.085000000000001</v>
      </c>
      <c r="I45" s="48">
        <f>Table1[[#This Row],[Fees in JOD]]+Table1[[#This Row],[Added Fees JOD]]</f>
        <v>17</v>
      </c>
      <c r="J45" s="49">
        <f>Table1[[#This Row],[Fees in USD]]+Table1[[#This Row],[Added Fees USD]]</f>
        <v>23.944500000000001</v>
      </c>
      <c r="K45" s="40"/>
      <c r="L45" s="37"/>
      <c r="M45" s="37"/>
      <c r="N45" s="37"/>
      <c r="O45" s="37"/>
    </row>
    <row r="46" spans="1:15" s="1" customFormat="1" ht="31.2" x14ac:dyDescent="0.6">
      <c r="A46" s="23" t="s">
        <v>229</v>
      </c>
      <c r="B46" s="23" t="s">
        <v>289</v>
      </c>
      <c r="C46" s="24">
        <v>3</v>
      </c>
      <c r="D46" s="25">
        <f>_xlfn.XLOOKUP(C46, Sheet2!A:A, Sheet2!B:B)</f>
        <v>7</v>
      </c>
      <c r="E46" s="26">
        <f>Table1[[#This Row],[Fees in JOD]]*1.4085</f>
        <v>9.8595000000000006</v>
      </c>
      <c r="F46" s="24"/>
      <c r="G46" s="28">
        <f>_xlfn.XLOOKUP(F46, Sheet2!C:C, Sheet2!D:D)</f>
        <v>0</v>
      </c>
      <c r="H46" s="29">
        <f>Table1[[#This Row],[Added Fees JOD]]*1.4085</f>
        <v>0</v>
      </c>
      <c r="I46" s="48">
        <f>Table1[[#This Row],[Fees in JOD]]+Table1[[#This Row],[Added Fees JOD]]</f>
        <v>7</v>
      </c>
      <c r="J46" s="49">
        <f>Table1[[#This Row],[Fees in USD]]+Table1[[#This Row],[Added Fees USD]]</f>
        <v>9.8595000000000006</v>
      </c>
      <c r="K46" s="40"/>
      <c r="L46" s="37"/>
      <c r="M46" s="37"/>
      <c r="N46" s="37"/>
      <c r="O46" s="37"/>
    </row>
    <row r="47" spans="1:15" s="1" customFormat="1" ht="31.2" x14ac:dyDescent="0.6">
      <c r="A47" s="23" t="s">
        <v>7</v>
      </c>
      <c r="B47" s="23" t="s">
        <v>290</v>
      </c>
      <c r="C47" s="24">
        <v>4</v>
      </c>
      <c r="D47" s="25">
        <f>_xlfn.XLOOKUP(C47, Sheet2!A:A, Sheet2!B:B)</f>
        <v>8</v>
      </c>
      <c r="E47" s="26">
        <f>Table1[[#This Row],[Fees in JOD]]*1.4085</f>
        <v>11.268000000000001</v>
      </c>
      <c r="F47" s="24"/>
      <c r="G47" s="28">
        <f>_xlfn.XLOOKUP(F47, Sheet2!C:C, Sheet2!D:D)</f>
        <v>0</v>
      </c>
      <c r="H47" s="29">
        <f>Table1[[#This Row],[Added Fees JOD]]*1.4085</f>
        <v>0</v>
      </c>
      <c r="I47" s="48">
        <f>Table1[[#This Row],[Fees in JOD]]+Table1[[#This Row],[Added Fees JOD]]</f>
        <v>8</v>
      </c>
      <c r="J47" s="49">
        <f>Table1[[#This Row],[Fees in USD]]+Table1[[#This Row],[Added Fees USD]]</f>
        <v>11.268000000000001</v>
      </c>
      <c r="K47" s="40"/>
      <c r="L47" s="37"/>
      <c r="M47" s="37"/>
      <c r="N47" s="37"/>
      <c r="O47" s="37"/>
    </row>
    <row r="48" spans="1:15" s="1" customFormat="1" ht="31.2" x14ac:dyDescent="0.6">
      <c r="A48" s="23" t="s">
        <v>35</v>
      </c>
      <c r="B48" s="23" t="s">
        <v>291</v>
      </c>
      <c r="C48" s="24">
        <v>4</v>
      </c>
      <c r="D48" s="25">
        <f>_xlfn.XLOOKUP(C48, Sheet2!A:A, Sheet2!B:B)</f>
        <v>8</v>
      </c>
      <c r="E48" s="26">
        <f>Table1[[#This Row],[Fees in JOD]]*1.4085</f>
        <v>11.268000000000001</v>
      </c>
      <c r="F48" s="24"/>
      <c r="G48" s="28">
        <f>_xlfn.XLOOKUP(F48, Sheet2!C:C, Sheet2!D:D)</f>
        <v>0</v>
      </c>
      <c r="H48" s="29">
        <f>Table1[[#This Row],[Added Fees JOD]]*1.4085</f>
        <v>0</v>
      </c>
      <c r="I48" s="48">
        <f>Table1[[#This Row],[Fees in JOD]]+Table1[[#This Row],[Added Fees JOD]]</f>
        <v>8</v>
      </c>
      <c r="J48" s="49">
        <f>Table1[[#This Row],[Fees in USD]]+Table1[[#This Row],[Added Fees USD]]</f>
        <v>11.268000000000001</v>
      </c>
      <c r="K48" s="40"/>
      <c r="L48" s="37"/>
      <c r="M48" s="37"/>
      <c r="N48" s="37"/>
      <c r="O48" s="37"/>
    </row>
    <row r="49" spans="1:15" s="1" customFormat="1" ht="31.2" x14ac:dyDescent="0.6">
      <c r="A49" s="23" t="s">
        <v>40</v>
      </c>
      <c r="B49" s="23" t="s">
        <v>292</v>
      </c>
      <c r="C49" s="24">
        <v>4</v>
      </c>
      <c r="D49" s="25">
        <f>_xlfn.XLOOKUP(C49, Sheet2!A:A, Sheet2!B:B)</f>
        <v>8</v>
      </c>
      <c r="E49" s="26">
        <f>Table1[[#This Row],[Fees in JOD]]*1.4085</f>
        <v>11.268000000000001</v>
      </c>
      <c r="F49" s="24"/>
      <c r="G49" s="28">
        <f>_xlfn.XLOOKUP(F49, Sheet2!C:C, Sheet2!D:D)</f>
        <v>0</v>
      </c>
      <c r="H49" s="29">
        <f>Table1[[#This Row],[Added Fees JOD]]*1.4085</f>
        <v>0</v>
      </c>
      <c r="I49" s="48">
        <f>Table1[[#This Row],[Fees in JOD]]+Table1[[#This Row],[Added Fees JOD]]</f>
        <v>8</v>
      </c>
      <c r="J49" s="49">
        <f>Table1[[#This Row],[Fees in USD]]+Table1[[#This Row],[Added Fees USD]]</f>
        <v>11.268000000000001</v>
      </c>
      <c r="K49" s="40"/>
      <c r="L49" s="37"/>
      <c r="M49" s="37"/>
      <c r="N49" s="37"/>
      <c r="O49" s="37"/>
    </row>
    <row r="50" spans="1:15" s="1" customFormat="1" ht="31.2" x14ac:dyDescent="0.6">
      <c r="A50" s="23" t="s">
        <v>50</v>
      </c>
      <c r="B50" s="23" t="s">
        <v>293</v>
      </c>
      <c r="C50" s="24">
        <v>4</v>
      </c>
      <c r="D50" s="25">
        <f>_xlfn.XLOOKUP(C50, Sheet2!A:A, Sheet2!B:B)</f>
        <v>8</v>
      </c>
      <c r="E50" s="26">
        <f>Table1[[#This Row],[Fees in JOD]]*1.4085</f>
        <v>11.268000000000001</v>
      </c>
      <c r="F50" s="24"/>
      <c r="G50" s="28">
        <f>_xlfn.XLOOKUP(F50, Sheet2!C:C, Sheet2!D:D)</f>
        <v>0</v>
      </c>
      <c r="H50" s="29">
        <f>Table1[[#This Row],[Added Fees JOD]]*1.4085</f>
        <v>0</v>
      </c>
      <c r="I50" s="48">
        <f>Table1[[#This Row],[Fees in JOD]]+Table1[[#This Row],[Added Fees JOD]]</f>
        <v>8</v>
      </c>
      <c r="J50" s="49">
        <f>Table1[[#This Row],[Fees in USD]]+Table1[[#This Row],[Added Fees USD]]</f>
        <v>11.268000000000001</v>
      </c>
      <c r="K50" s="40"/>
      <c r="L50" s="37"/>
      <c r="M50" s="37"/>
      <c r="N50" s="37"/>
      <c r="O50" s="37"/>
    </row>
    <row r="51" spans="1:15" s="1" customFormat="1" ht="31.2" x14ac:dyDescent="0.6">
      <c r="A51" s="23" t="s">
        <v>51</v>
      </c>
      <c r="B51" s="23" t="s">
        <v>294</v>
      </c>
      <c r="C51" s="24">
        <v>4</v>
      </c>
      <c r="D51" s="25">
        <f>_xlfn.XLOOKUP(C51, Sheet2!A:A, Sheet2!B:B)</f>
        <v>8</v>
      </c>
      <c r="E51" s="26">
        <f>Table1[[#This Row],[Fees in JOD]]*1.4085</f>
        <v>11.268000000000001</v>
      </c>
      <c r="F51" s="24"/>
      <c r="G51" s="28">
        <f>_xlfn.XLOOKUP(F51, Sheet2!C:C, Sheet2!D:D)</f>
        <v>0</v>
      </c>
      <c r="H51" s="29">
        <f>Table1[[#This Row],[Added Fees JOD]]*1.4085</f>
        <v>0</v>
      </c>
      <c r="I51" s="48">
        <f>Table1[[#This Row],[Fees in JOD]]+Table1[[#This Row],[Added Fees JOD]]</f>
        <v>8</v>
      </c>
      <c r="J51" s="49">
        <f>Table1[[#This Row],[Fees in USD]]+Table1[[#This Row],[Added Fees USD]]</f>
        <v>11.268000000000001</v>
      </c>
      <c r="K51" s="40"/>
      <c r="L51" s="37"/>
      <c r="M51" s="37"/>
      <c r="N51" s="37"/>
      <c r="O51" s="37"/>
    </row>
    <row r="52" spans="1:15" s="1" customFormat="1" ht="31.2" x14ac:dyDescent="0.6">
      <c r="A52" s="23" t="s">
        <v>54</v>
      </c>
      <c r="B52" s="23" t="s">
        <v>295</v>
      </c>
      <c r="C52" s="24">
        <v>4</v>
      </c>
      <c r="D52" s="25">
        <f>_xlfn.XLOOKUP(C52, Sheet2!A:A, Sheet2!B:B)</f>
        <v>8</v>
      </c>
      <c r="E52" s="26">
        <f>Table1[[#This Row],[Fees in JOD]]*1.4085</f>
        <v>11.268000000000001</v>
      </c>
      <c r="F52" s="24"/>
      <c r="G52" s="28">
        <f>_xlfn.XLOOKUP(F52, Sheet2!C:C, Sheet2!D:D)</f>
        <v>0</v>
      </c>
      <c r="H52" s="29">
        <f>Table1[[#This Row],[Added Fees JOD]]*1.4085</f>
        <v>0</v>
      </c>
      <c r="I52" s="48">
        <f>Table1[[#This Row],[Fees in JOD]]+Table1[[#This Row],[Added Fees JOD]]</f>
        <v>8</v>
      </c>
      <c r="J52" s="49">
        <f>Table1[[#This Row],[Fees in USD]]+Table1[[#This Row],[Added Fees USD]]</f>
        <v>11.268000000000001</v>
      </c>
      <c r="K52" s="40"/>
      <c r="L52" s="37"/>
      <c r="M52" s="37"/>
      <c r="N52" s="37"/>
      <c r="O52" s="37"/>
    </row>
    <row r="53" spans="1:15" s="1" customFormat="1" ht="31.2" x14ac:dyDescent="0.6">
      <c r="A53" s="23" t="s">
        <v>61</v>
      </c>
      <c r="B53" s="23" t="s">
        <v>296</v>
      </c>
      <c r="C53" s="24">
        <v>4</v>
      </c>
      <c r="D53" s="25">
        <f>_xlfn.XLOOKUP(C53, Sheet2!A:A, Sheet2!B:B)</f>
        <v>8</v>
      </c>
      <c r="E53" s="26">
        <f>Table1[[#This Row],[Fees in JOD]]*1.4085</f>
        <v>11.268000000000001</v>
      </c>
      <c r="F53" s="24"/>
      <c r="G53" s="28">
        <f>_xlfn.XLOOKUP(F53, Sheet2!C:C, Sheet2!D:D)</f>
        <v>0</v>
      </c>
      <c r="H53" s="29">
        <f>Table1[[#This Row],[Added Fees JOD]]*1.4085</f>
        <v>0</v>
      </c>
      <c r="I53" s="48">
        <f>Table1[[#This Row],[Fees in JOD]]+Table1[[#This Row],[Added Fees JOD]]</f>
        <v>8</v>
      </c>
      <c r="J53" s="49">
        <f>Table1[[#This Row],[Fees in USD]]+Table1[[#This Row],[Added Fees USD]]</f>
        <v>11.268000000000001</v>
      </c>
      <c r="K53" s="40"/>
      <c r="L53" s="37"/>
      <c r="M53" s="37"/>
      <c r="N53" s="37"/>
      <c r="O53" s="37"/>
    </row>
    <row r="54" spans="1:15" s="1" customFormat="1" ht="31.2" x14ac:dyDescent="0.6">
      <c r="A54" s="23" t="s">
        <v>62</v>
      </c>
      <c r="B54" s="23" t="s">
        <v>297</v>
      </c>
      <c r="C54" s="24">
        <v>4</v>
      </c>
      <c r="D54" s="25">
        <f>_xlfn.XLOOKUP(C54, Sheet2!A:A, Sheet2!B:B)</f>
        <v>8</v>
      </c>
      <c r="E54" s="26">
        <f>Table1[[#This Row],[Fees in JOD]]*1.4085</f>
        <v>11.268000000000001</v>
      </c>
      <c r="F54" s="24"/>
      <c r="G54" s="28">
        <f>_xlfn.XLOOKUP(F54, Sheet2!C:C, Sheet2!D:D)</f>
        <v>0</v>
      </c>
      <c r="H54" s="29">
        <f>Table1[[#This Row],[Added Fees JOD]]*1.4085</f>
        <v>0</v>
      </c>
      <c r="I54" s="48">
        <f>Table1[[#This Row],[Fees in JOD]]+Table1[[#This Row],[Added Fees JOD]]</f>
        <v>8</v>
      </c>
      <c r="J54" s="49">
        <f>Table1[[#This Row],[Fees in USD]]+Table1[[#This Row],[Added Fees USD]]</f>
        <v>11.268000000000001</v>
      </c>
      <c r="K54" s="40"/>
      <c r="L54" s="37"/>
      <c r="M54" s="37"/>
      <c r="N54" s="37"/>
      <c r="O54" s="37"/>
    </row>
    <row r="55" spans="1:15" s="1" customFormat="1" ht="31.2" x14ac:dyDescent="0.6">
      <c r="A55" s="23" t="s">
        <v>95</v>
      </c>
      <c r="B55" s="23" t="s">
        <v>298</v>
      </c>
      <c r="C55" s="24">
        <v>4</v>
      </c>
      <c r="D55" s="25">
        <f>_xlfn.XLOOKUP(C55, Sheet2!A:A, Sheet2!B:B)</f>
        <v>8</v>
      </c>
      <c r="E55" s="26">
        <f>Table1[[#This Row],[Fees in JOD]]*1.4085</f>
        <v>11.268000000000001</v>
      </c>
      <c r="F55" s="24"/>
      <c r="G55" s="28">
        <f>_xlfn.XLOOKUP(F55, Sheet2!C:C, Sheet2!D:D)</f>
        <v>0</v>
      </c>
      <c r="H55" s="29">
        <f>Table1[[#This Row],[Added Fees JOD]]*1.4085</f>
        <v>0</v>
      </c>
      <c r="I55" s="48">
        <f>Table1[[#This Row],[Fees in JOD]]+Table1[[#This Row],[Added Fees JOD]]</f>
        <v>8</v>
      </c>
      <c r="J55" s="49">
        <f>Table1[[#This Row],[Fees in USD]]+Table1[[#This Row],[Added Fees USD]]</f>
        <v>11.268000000000001</v>
      </c>
      <c r="K55" s="40"/>
      <c r="L55" s="37"/>
      <c r="M55" s="37"/>
      <c r="N55" s="37"/>
      <c r="O55" s="37"/>
    </row>
    <row r="56" spans="1:15" s="1" customFormat="1" ht="31.2" x14ac:dyDescent="0.6">
      <c r="A56" s="23" t="s">
        <v>96</v>
      </c>
      <c r="B56" s="23" t="s">
        <v>299</v>
      </c>
      <c r="C56" s="24">
        <v>4</v>
      </c>
      <c r="D56" s="25">
        <f>_xlfn.XLOOKUP(C56, Sheet2!A:A, Sheet2!B:B)</f>
        <v>8</v>
      </c>
      <c r="E56" s="26">
        <f>Table1[[#This Row],[Fees in JOD]]*1.4085</f>
        <v>11.268000000000001</v>
      </c>
      <c r="F56" s="24"/>
      <c r="G56" s="28">
        <f>_xlfn.XLOOKUP(F56, Sheet2!C:C, Sheet2!D:D)</f>
        <v>0</v>
      </c>
      <c r="H56" s="29">
        <f>Table1[[#This Row],[Added Fees JOD]]*1.4085</f>
        <v>0</v>
      </c>
      <c r="I56" s="48">
        <f>Table1[[#This Row],[Fees in JOD]]+Table1[[#This Row],[Added Fees JOD]]</f>
        <v>8</v>
      </c>
      <c r="J56" s="49">
        <f>Table1[[#This Row],[Fees in USD]]+Table1[[#This Row],[Added Fees USD]]</f>
        <v>11.268000000000001</v>
      </c>
      <c r="K56" s="40"/>
      <c r="L56" s="37"/>
      <c r="M56" s="37"/>
      <c r="N56" s="37"/>
      <c r="O56" s="37"/>
    </row>
    <row r="57" spans="1:15" s="1" customFormat="1" ht="31.2" x14ac:dyDescent="0.6">
      <c r="A57" s="23" t="s">
        <v>165</v>
      </c>
      <c r="B57" s="23" t="s">
        <v>300</v>
      </c>
      <c r="C57" s="24">
        <v>4</v>
      </c>
      <c r="D57" s="25">
        <f>_xlfn.XLOOKUP(C57, Sheet2!A:A, Sheet2!B:B)</f>
        <v>8</v>
      </c>
      <c r="E57" s="26">
        <f>Table1[[#This Row],[Fees in JOD]]*1.4085</f>
        <v>11.268000000000001</v>
      </c>
      <c r="F57" s="24"/>
      <c r="G57" s="28">
        <f>_xlfn.XLOOKUP(F57, Sheet2!C:C, Sheet2!D:D)</f>
        <v>0</v>
      </c>
      <c r="H57" s="29">
        <f>Table1[[#This Row],[Added Fees JOD]]*1.4085</f>
        <v>0</v>
      </c>
      <c r="I57" s="48">
        <f>Table1[[#This Row],[Fees in JOD]]+Table1[[#This Row],[Added Fees JOD]]</f>
        <v>8</v>
      </c>
      <c r="J57" s="49">
        <f>Table1[[#This Row],[Fees in USD]]+Table1[[#This Row],[Added Fees USD]]</f>
        <v>11.268000000000001</v>
      </c>
      <c r="K57" s="40"/>
      <c r="L57" s="37"/>
      <c r="M57" s="37"/>
      <c r="N57" s="37"/>
      <c r="O57" s="37"/>
    </row>
    <row r="58" spans="1:15" s="1" customFormat="1" ht="31.2" x14ac:dyDescent="0.6">
      <c r="A58" s="23" t="s">
        <v>195</v>
      </c>
      <c r="B58" s="23" t="s">
        <v>301</v>
      </c>
      <c r="C58" s="24">
        <v>4</v>
      </c>
      <c r="D58" s="25">
        <f>_xlfn.XLOOKUP(C58, Sheet2!A:A, Sheet2!B:B)</f>
        <v>8</v>
      </c>
      <c r="E58" s="26">
        <f>Table1[[#This Row],[Fees in JOD]]*1.4085</f>
        <v>11.268000000000001</v>
      </c>
      <c r="F58" s="24"/>
      <c r="G58" s="28">
        <f>_xlfn.XLOOKUP(F58, Sheet2!C:C, Sheet2!D:D)</f>
        <v>0</v>
      </c>
      <c r="H58" s="29">
        <f>Table1[[#This Row],[Added Fees JOD]]*1.4085</f>
        <v>0</v>
      </c>
      <c r="I58" s="48">
        <f>Table1[[#This Row],[Fees in JOD]]+Table1[[#This Row],[Added Fees JOD]]</f>
        <v>8</v>
      </c>
      <c r="J58" s="49">
        <f>Table1[[#This Row],[Fees in USD]]+Table1[[#This Row],[Added Fees USD]]</f>
        <v>11.268000000000001</v>
      </c>
      <c r="K58" s="40"/>
      <c r="L58" s="37"/>
      <c r="M58" s="37"/>
      <c r="N58" s="37"/>
      <c r="O58" s="37"/>
    </row>
    <row r="59" spans="1:15" s="1" customFormat="1" ht="31.2" x14ac:dyDescent="0.6">
      <c r="A59" s="23" t="s">
        <v>205</v>
      </c>
      <c r="B59" s="23" t="s">
        <v>302</v>
      </c>
      <c r="C59" s="24">
        <v>4</v>
      </c>
      <c r="D59" s="25">
        <f>_xlfn.XLOOKUP(C59, Sheet2!A:A, Sheet2!B:B)</f>
        <v>8</v>
      </c>
      <c r="E59" s="26">
        <f>Table1[[#This Row],[Fees in JOD]]*1.4085</f>
        <v>11.268000000000001</v>
      </c>
      <c r="F59" s="24"/>
      <c r="G59" s="28">
        <f>_xlfn.XLOOKUP(F59, Sheet2!C:C, Sheet2!D:D)</f>
        <v>0</v>
      </c>
      <c r="H59" s="29">
        <f>Table1[[#This Row],[Added Fees JOD]]*1.4085</f>
        <v>0</v>
      </c>
      <c r="I59" s="48">
        <f>Table1[[#This Row],[Fees in JOD]]+Table1[[#This Row],[Added Fees JOD]]</f>
        <v>8</v>
      </c>
      <c r="J59" s="49">
        <f>Table1[[#This Row],[Fees in USD]]+Table1[[#This Row],[Added Fees USD]]</f>
        <v>11.268000000000001</v>
      </c>
      <c r="K59" s="40"/>
      <c r="L59" s="37"/>
      <c r="M59" s="37"/>
      <c r="N59" s="37"/>
      <c r="O59" s="37"/>
    </row>
    <row r="60" spans="1:15" s="1" customFormat="1" ht="31.2" x14ac:dyDescent="0.6">
      <c r="A60" s="23" t="s">
        <v>210</v>
      </c>
      <c r="B60" s="23" t="s">
        <v>303</v>
      </c>
      <c r="C60" s="24">
        <v>4</v>
      </c>
      <c r="D60" s="25">
        <f>_xlfn.XLOOKUP(C60, Sheet2!A:A, Sheet2!B:B)</f>
        <v>8</v>
      </c>
      <c r="E60" s="26">
        <f>Table1[[#This Row],[Fees in JOD]]*1.4085</f>
        <v>11.268000000000001</v>
      </c>
      <c r="F60" s="24"/>
      <c r="G60" s="28">
        <f>_xlfn.XLOOKUP(F60, Sheet2!C:C, Sheet2!D:D)</f>
        <v>0</v>
      </c>
      <c r="H60" s="29">
        <f>Table1[[#This Row],[Added Fees JOD]]*1.4085</f>
        <v>0</v>
      </c>
      <c r="I60" s="48">
        <f>Table1[[#This Row],[Fees in JOD]]+Table1[[#This Row],[Added Fees JOD]]</f>
        <v>8</v>
      </c>
      <c r="J60" s="49">
        <f>Table1[[#This Row],[Fees in USD]]+Table1[[#This Row],[Added Fees USD]]</f>
        <v>11.268000000000001</v>
      </c>
      <c r="K60" s="40"/>
      <c r="L60" s="37"/>
      <c r="M60" s="37"/>
      <c r="N60" s="37"/>
      <c r="O60" s="37"/>
    </row>
    <row r="61" spans="1:15" s="1" customFormat="1" ht="31.2" x14ac:dyDescent="0.6">
      <c r="A61" s="23" t="s">
        <v>219</v>
      </c>
      <c r="B61" s="23" t="s">
        <v>304</v>
      </c>
      <c r="C61" s="24">
        <v>4</v>
      </c>
      <c r="D61" s="25">
        <f>_xlfn.XLOOKUP(C61, Sheet2!A:A, Sheet2!B:B)</f>
        <v>8</v>
      </c>
      <c r="E61" s="26">
        <f>Table1[[#This Row],[Fees in JOD]]*1.4085</f>
        <v>11.268000000000001</v>
      </c>
      <c r="F61" s="24"/>
      <c r="G61" s="28">
        <f>_xlfn.XLOOKUP(F61, Sheet2!C:C, Sheet2!D:D)</f>
        <v>0</v>
      </c>
      <c r="H61" s="29">
        <f>Table1[[#This Row],[Added Fees JOD]]*1.4085</f>
        <v>0</v>
      </c>
      <c r="I61" s="48">
        <f>Table1[[#This Row],[Fees in JOD]]+Table1[[#This Row],[Added Fees JOD]]</f>
        <v>8</v>
      </c>
      <c r="J61" s="49">
        <f>Table1[[#This Row],[Fees in USD]]+Table1[[#This Row],[Added Fees USD]]</f>
        <v>11.268000000000001</v>
      </c>
      <c r="K61" s="40"/>
      <c r="L61" s="37"/>
      <c r="M61" s="37"/>
      <c r="N61" s="37"/>
      <c r="O61" s="37"/>
    </row>
    <row r="62" spans="1:15" s="1" customFormat="1" ht="31.2" x14ac:dyDescent="0.6">
      <c r="A62" s="23" t="s">
        <v>221</v>
      </c>
      <c r="B62" s="23" t="s">
        <v>305</v>
      </c>
      <c r="C62" s="24">
        <v>4</v>
      </c>
      <c r="D62" s="25">
        <f>_xlfn.XLOOKUP(C62, Sheet2!A:A, Sheet2!B:B)</f>
        <v>8</v>
      </c>
      <c r="E62" s="26">
        <f>Table1[[#This Row],[Fees in JOD]]*1.4085</f>
        <v>11.268000000000001</v>
      </c>
      <c r="F62" s="24"/>
      <c r="G62" s="28">
        <f>_xlfn.XLOOKUP(F62, Sheet2!C:C, Sheet2!D:D)</f>
        <v>0</v>
      </c>
      <c r="H62" s="29">
        <f>Table1[[#This Row],[Added Fees JOD]]*1.4085</f>
        <v>0</v>
      </c>
      <c r="I62" s="48">
        <f>Table1[[#This Row],[Fees in JOD]]+Table1[[#This Row],[Added Fees JOD]]</f>
        <v>8</v>
      </c>
      <c r="J62" s="49">
        <f>Table1[[#This Row],[Fees in USD]]+Table1[[#This Row],[Added Fees USD]]</f>
        <v>11.268000000000001</v>
      </c>
      <c r="K62" s="40"/>
      <c r="L62" s="37"/>
      <c r="M62" s="37"/>
      <c r="N62" s="37"/>
      <c r="O62" s="37"/>
    </row>
    <row r="63" spans="1:15" s="1" customFormat="1" ht="31.2" x14ac:dyDescent="0.6">
      <c r="A63" s="23" t="s">
        <v>233</v>
      </c>
      <c r="B63" s="23" t="s">
        <v>306</v>
      </c>
      <c r="C63" s="24">
        <v>4</v>
      </c>
      <c r="D63" s="25">
        <f>_xlfn.XLOOKUP(C63, Sheet2!A:A, Sheet2!B:B)</f>
        <v>8</v>
      </c>
      <c r="E63" s="26">
        <f>Table1[[#This Row],[Fees in JOD]]*1.4085</f>
        <v>11.268000000000001</v>
      </c>
      <c r="F63" s="24"/>
      <c r="G63" s="28">
        <f>_xlfn.XLOOKUP(F63, Sheet2!C:C, Sheet2!D:D)</f>
        <v>0</v>
      </c>
      <c r="H63" s="29">
        <f>Table1[[#This Row],[Added Fees JOD]]*1.4085</f>
        <v>0</v>
      </c>
      <c r="I63" s="48">
        <f>Table1[[#This Row],[Fees in JOD]]+Table1[[#This Row],[Added Fees JOD]]</f>
        <v>8</v>
      </c>
      <c r="J63" s="49">
        <f>Table1[[#This Row],[Fees in USD]]+Table1[[#This Row],[Added Fees USD]]</f>
        <v>11.268000000000001</v>
      </c>
      <c r="K63" s="40"/>
      <c r="L63" s="37"/>
      <c r="M63" s="37"/>
      <c r="N63" s="37"/>
      <c r="O63" s="37"/>
    </row>
    <row r="64" spans="1:15" s="1" customFormat="1" ht="31.2" x14ac:dyDescent="0.6">
      <c r="A64" s="23" t="s">
        <v>236</v>
      </c>
      <c r="B64" s="23" t="s">
        <v>307</v>
      </c>
      <c r="C64" s="24">
        <v>4</v>
      </c>
      <c r="D64" s="25">
        <f>_xlfn.XLOOKUP(C64, Sheet2!A:A, Sheet2!B:B)</f>
        <v>8</v>
      </c>
      <c r="E64" s="26">
        <f>Table1[[#This Row],[Fees in JOD]]*1.4085</f>
        <v>11.268000000000001</v>
      </c>
      <c r="F64" s="24"/>
      <c r="G64" s="28">
        <f>_xlfn.XLOOKUP(F64, Sheet2!C:C, Sheet2!D:D)</f>
        <v>0</v>
      </c>
      <c r="H64" s="29">
        <f>Table1[[#This Row],[Added Fees JOD]]*1.4085</f>
        <v>0</v>
      </c>
      <c r="I64" s="48">
        <f>Table1[[#This Row],[Fees in JOD]]+Table1[[#This Row],[Added Fees JOD]]</f>
        <v>8</v>
      </c>
      <c r="J64" s="49">
        <f>Table1[[#This Row],[Fees in USD]]+Table1[[#This Row],[Added Fees USD]]</f>
        <v>11.268000000000001</v>
      </c>
      <c r="K64" s="40"/>
      <c r="L64" s="37"/>
      <c r="M64" s="37"/>
      <c r="N64" s="37"/>
      <c r="O64" s="37"/>
    </row>
    <row r="65" spans="1:15" s="1" customFormat="1" ht="31.2" x14ac:dyDescent="0.6">
      <c r="A65" s="23" t="s">
        <v>240</v>
      </c>
      <c r="B65" s="23" t="s">
        <v>308</v>
      </c>
      <c r="C65" s="24">
        <v>4</v>
      </c>
      <c r="D65" s="25">
        <f>_xlfn.XLOOKUP(C65, Sheet2!A:A, Sheet2!B:B)</f>
        <v>8</v>
      </c>
      <c r="E65" s="26">
        <f>Table1[[#This Row],[Fees in JOD]]*1.4085</f>
        <v>11.268000000000001</v>
      </c>
      <c r="F65" s="24"/>
      <c r="G65" s="28">
        <f>_xlfn.XLOOKUP(F65, Sheet2!C:C, Sheet2!D:D)</f>
        <v>0</v>
      </c>
      <c r="H65" s="29">
        <f>Table1[[#This Row],[Added Fees JOD]]*1.4085</f>
        <v>0</v>
      </c>
      <c r="I65" s="48">
        <f>Table1[[#This Row],[Fees in JOD]]+Table1[[#This Row],[Added Fees JOD]]</f>
        <v>8</v>
      </c>
      <c r="J65" s="49">
        <f>Table1[[#This Row],[Fees in USD]]+Table1[[#This Row],[Added Fees USD]]</f>
        <v>11.268000000000001</v>
      </c>
      <c r="K65" s="40"/>
      <c r="L65" s="37"/>
      <c r="M65" s="37"/>
      <c r="N65" s="37"/>
      <c r="O65" s="37"/>
    </row>
    <row r="66" spans="1:15" s="1" customFormat="1" ht="31.2" x14ac:dyDescent="0.6">
      <c r="A66" s="23" t="s">
        <v>241</v>
      </c>
      <c r="B66" s="23" t="s">
        <v>309</v>
      </c>
      <c r="C66" s="24">
        <v>4</v>
      </c>
      <c r="D66" s="25">
        <f>_xlfn.XLOOKUP(C66, Sheet2!A:A, Sheet2!B:B)</f>
        <v>8</v>
      </c>
      <c r="E66" s="26">
        <f>Table1[[#This Row],[Fees in JOD]]*1.4085</f>
        <v>11.268000000000001</v>
      </c>
      <c r="F66" s="24"/>
      <c r="G66" s="28">
        <f>_xlfn.XLOOKUP(F66, Sheet2!C:C, Sheet2!D:D)</f>
        <v>0</v>
      </c>
      <c r="H66" s="29">
        <f>Table1[[#This Row],[Added Fees JOD]]*1.4085</f>
        <v>0</v>
      </c>
      <c r="I66" s="48">
        <f>Table1[[#This Row],[Fees in JOD]]+Table1[[#This Row],[Added Fees JOD]]</f>
        <v>8</v>
      </c>
      <c r="J66" s="49">
        <f>Table1[[#This Row],[Fees in USD]]+Table1[[#This Row],[Added Fees USD]]</f>
        <v>11.268000000000001</v>
      </c>
      <c r="K66" s="40"/>
      <c r="L66" s="37"/>
      <c r="M66" s="37"/>
      <c r="N66" s="37"/>
      <c r="O66" s="37"/>
    </row>
    <row r="67" spans="1:15" s="1" customFormat="1" ht="36" x14ac:dyDescent="0.6">
      <c r="A67" s="23" t="s">
        <v>0</v>
      </c>
      <c r="B67" s="23" t="s">
        <v>310</v>
      </c>
      <c r="C67" s="24">
        <v>5</v>
      </c>
      <c r="D67" s="25">
        <f>_xlfn.XLOOKUP(C67, Sheet2!A:A, Sheet2!B:B)</f>
        <v>9</v>
      </c>
      <c r="E67" s="26">
        <f>Table1[[#This Row],[Fees in JOD]]*1.4085</f>
        <v>12.676500000000001</v>
      </c>
      <c r="F67" s="24"/>
      <c r="G67" s="28">
        <f>_xlfn.XLOOKUP(F67, Sheet2!C:C, Sheet2!D:D)</f>
        <v>0</v>
      </c>
      <c r="H67" s="29">
        <f>Table1[[#This Row],[Added Fees JOD]]*1.4085</f>
        <v>0</v>
      </c>
      <c r="I67" s="48">
        <f>Table1[[#This Row],[Fees in JOD]]+Table1[[#This Row],[Added Fees JOD]]</f>
        <v>9</v>
      </c>
      <c r="J67" s="49">
        <f>Table1[[#This Row],[Fees in USD]]+Table1[[#This Row],[Added Fees USD]]</f>
        <v>12.676500000000001</v>
      </c>
      <c r="K67" s="40"/>
      <c r="L67" s="37"/>
      <c r="M67" s="37"/>
      <c r="N67" s="37"/>
      <c r="O67" s="37"/>
    </row>
    <row r="68" spans="1:15" s="1" customFormat="1" ht="31.2" x14ac:dyDescent="0.6">
      <c r="A68" s="23" t="s">
        <v>1</v>
      </c>
      <c r="B68" s="23" t="s">
        <v>311</v>
      </c>
      <c r="C68" s="24">
        <v>5</v>
      </c>
      <c r="D68" s="25">
        <f>_xlfn.XLOOKUP(C68, Sheet2!A:A, Sheet2!B:B)</f>
        <v>9</v>
      </c>
      <c r="E68" s="26">
        <f>Table1[[#This Row],[Fees in JOD]]*1.4085</f>
        <v>12.676500000000001</v>
      </c>
      <c r="F68" s="24"/>
      <c r="G68" s="28">
        <f>_xlfn.XLOOKUP(F68, Sheet2!C:C, Sheet2!D:D)</f>
        <v>0</v>
      </c>
      <c r="H68" s="29">
        <f>Table1[[#This Row],[Added Fees JOD]]*1.4085</f>
        <v>0</v>
      </c>
      <c r="I68" s="48">
        <f>Table1[[#This Row],[Fees in JOD]]+Table1[[#This Row],[Added Fees JOD]]</f>
        <v>9</v>
      </c>
      <c r="J68" s="49">
        <f>Table1[[#This Row],[Fees in USD]]+Table1[[#This Row],[Added Fees USD]]</f>
        <v>12.676500000000001</v>
      </c>
      <c r="K68" s="40"/>
      <c r="L68" s="37"/>
      <c r="M68" s="37"/>
      <c r="N68" s="37"/>
      <c r="O68" s="37"/>
    </row>
    <row r="69" spans="1:15" s="1" customFormat="1" ht="31.2" x14ac:dyDescent="0.6">
      <c r="A69" s="23" t="s">
        <v>2</v>
      </c>
      <c r="B69" s="23" t="s">
        <v>312</v>
      </c>
      <c r="C69" s="24">
        <v>5</v>
      </c>
      <c r="D69" s="25">
        <f>_xlfn.XLOOKUP(C69, Sheet2!A:A, Sheet2!B:B)</f>
        <v>9</v>
      </c>
      <c r="E69" s="26">
        <f>Table1[[#This Row],[Fees in JOD]]*1.4085</f>
        <v>12.676500000000001</v>
      </c>
      <c r="F69" s="24"/>
      <c r="G69" s="28">
        <f>_xlfn.XLOOKUP(F69, Sheet2!C:C, Sheet2!D:D)</f>
        <v>0</v>
      </c>
      <c r="H69" s="29">
        <f>Table1[[#This Row],[Added Fees JOD]]*1.4085</f>
        <v>0</v>
      </c>
      <c r="I69" s="48">
        <f>Table1[[#This Row],[Fees in JOD]]+Table1[[#This Row],[Added Fees JOD]]</f>
        <v>9</v>
      </c>
      <c r="J69" s="49">
        <f>Table1[[#This Row],[Fees in USD]]+Table1[[#This Row],[Added Fees USD]]</f>
        <v>12.676500000000001</v>
      </c>
      <c r="K69" s="40"/>
      <c r="L69" s="37"/>
      <c r="M69" s="37"/>
      <c r="N69" s="37"/>
      <c r="O69" s="37"/>
    </row>
    <row r="70" spans="1:15" s="1" customFormat="1" ht="31.2" x14ac:dyDescent="0.6">
      <c r="A70" s="23" t="s">
        <v>3</v>
      </c>
      <c r="B70" s="23" t="s">
        <v>313</v>
      </c>
      <c r="C70" s="24">
        <v>5</v>
      </c>
      <c r="D70" s="25">
        <f>_xlfn.XLOOKUP(C70, Sheet2!A:A, Sheet2!B:B)</f>
        <v>9</v>
      </c>
      <c r="E70" s="26">
        <f>Table1[[#This Row],[Fees in JOD]]*1.4085</f>
        <v>12.676500000000001</v>
      </c>
      <c r="F70" s="24"/>
      <c r="G70" s="28">
        <f>_xlfn.XLOOKUP(F70, Sheet2!C:C, Sheet2!D:D)</f>
        <v>0</v>
      </c>
      <c r="H70" s="29">
        <f>Table1[[#This Row],[Added Fees JOD]]*1.4085</f>
        <v>0</v>
      </c>
      <c r="I70" s="48">
        <f>Table1[[#This Row],[Fees in JOD]]+Table1[[#This Row],[Added Fees JOD]]</f>
        <v>9</v>
      </c>
      <c r="J70" s="49">
        <f>Table1[[#This Row],[Fees in USD]]+Table1[[#This Row],[Added Fees USD]]</f>
        <v>12.676500000000001</v>
      </c>
      <c r="K70" s="40"/>
      <c r="L70" s="37"/>
      <c r="M70" s="37"/>
      <c r="N70" s="37"/>
      <c r="O70" s="37"/>
    </row>
    <row r="71" spans="1:15" s="1" customFormat="1" ht="31.2" x14ac:dyDescent="0.6">
      <c r="A71" s="23" t="s">
        <v>4</v>
      </c>
      <c r="B71" s="23" t="s">
        <v>314</v>
      </c>
      <c r="C71" s="24">
        <v>5</v>
      </c>
      <c r="D71" s="25">
        <f>_xlfn.XLOOKUP(C71, Sheet2!A:A, Sheet2!B:B)</f>
        <v>9</v>
      </c>
      <c r="E71" s="26">
        <f>Table1[[#This Row],[Fees in JOD]]*1.4085</f>
        <v>12.676500000000001</v>
      </c>
      <c r="F71" s="24"/>
      <c r="G71" s="28">
        <f>_xlfn.XLOOKUP(F71, Sheet2!C:C, Sheet2!D:D)</f>
        <v>0</v>
      </c>
      <c r="H71" s="29">
        <f>Table1[[#This Row],[Added Fees JOD]]*1.4085</f>
        <v>0</v>
      </c>
      <c r="I71" s="48">
        <f>Table1[[#This Row],[Fees in JOD]]+Table1[[#This Row],[Added Fees JOD]]</f>
        <v>9</v>
      </c>
      <c r="J71" s="49">
        <f>Table1[[#This Row],[Fees in USD]]+Table1[[#This Row],[Added Fees USD]]</f>
        <v>12.676500000000001</v>
      </c>
      <c r="K71" s="40"/>
      <c r="L71" s="37"/>
      <c r="M71" s="37"/>
      <c r="N71" s="37"/>
      <c r="O71" s="37"/>
    </row>
    <row r="72" spans="1:15" s="1" customFormat="1" ht="31.2" x14ac:dyDescent="0.6">
      <c r="A72" s="23" t="s">
        <v>5</v>
      </c>
      <c r="B72" s="23" t="s">
        <v>315</v>
      </c>
      <c r="C72" s="24">
        <v>5</v>
      </c>
      <c r="D72" s="25">
        <f>_xlfn.XLOOKUP(C72, Sheet2!A:A, Sheet2!B:B)</f>
        <v>9</v>
      </c>
      <c r="E72" s="26">
        <f>Table1[[#This Row],[Fees in JOD]]*1.4085</f>
        <v>12.676500000000001</v>
      </c>
      <c r="F72" s="24"/>
      <c r="G72" s="28">
        <f>_xlfn.XLOOKUP(F72, Sheet2!C:C, Sheet2!D:D)</f>
        <v>0</v>
      </c>
      <c r="H72" s="29">
        <f>Table1[[#This Row],[Added Fees JOD]]*1.4085</f>
        <v>0</v>
      </c>
      <c r="I72" s="48">
        <f>Table1[[#This Row],[Fees in JOD]]+Table1[[#This Row],[Added Fees JOD]]</f>
        <v>9</v>
      </c>
      <c r="J72" s="49">
        <f>Table1[[#This Row],[Fees in USD]]+Table1[[#This Row],[Added Fees USD]]</f>
        <v>12.676500000000001</v>
      </c>
      <c r="K72" s="40"/>
      <c r="L72" s="37"/>
      <c r="M72" s="37"/>
      <c r="N72" s="37"/>
      <c r="O72" s="37"/>
    </row>
    <row r="73" spans="1:15" s="1" customFormat="1" ht="36" x14ac:dyDescent="0.6">
      <c r="A73" s="23" t="s">
        <v>6</v>
      </c>
      <c r="B73" s="23" t="s">
        <v>316</v>
      </c>
      <c r="C73" s="24">
        <v>5</v>
      </c>
      <c r="D73" s="25">
        <f>_xlfn.XLOOKUP(C73, Sheet2!A:A, Sheet2!B:B)</f>
        <v>9</v>
      </c>
      <c r="E73" s="26">
        <f>Table1[[#This Row],[Fees in JOD]]*1.4085</f>
        <v>12.676500000000001</v>
      </c>
      <c r="F73" s="24"/>
      <c r="G73" s="28">
        <f>_xlfn.XLOOKUP(F73, Sheet2!C:C, Sheet2!D:D)</f>
        <v>0</v>
      </c>
      <c r="H73" s="29">
        <f>Table1[[#This Row],[Added Fees JOD]]*1.4085</f>
        <v>0</v>
      </c>
      <c r="I73" s="48">
        <f>Table1[[#This Row],[Fees in JOD]]+Table1[[#This Row],[Added Fees JOD]]</f>
        <v>9</v>
      </c>
      <c r="J73" s="49">
        <f>Table1[[#This Row],[Fees in USD]]+Table1[[#This Row],[Added Fees USD]]</f>
        <v>12.676500000000001</v>
      </c>
      <c r="K73" s="40"/>
      <c r="L73" s="37"/>
      <c r="M73" s="37"/>
      <c r="N73" s="37"/>
      <c r="O73" s="37"/>
    </row>
    <row r="74" spans="1:15" s="1" customFormat="1" ht="31.2" x14ac:dyDescent="0.6">
      <c r="A74" s="23" t="s">
        <v>8</v>
      </c>
      <c r="B74" s="23" t="s">
        <v>317</v>
      </c>
      <c r="C74" s="24">
        <v>5</v>
      </c>
      <c r="D74" s="25">
        <f>_xlfn.XLOOKUP(C74, Sheet2!A:A, Sheet2!B:B)</f>
        <v>9</v>
      </c>
      <c r="E74" s="26">
        <f>Table1[[#This Row],[Fees in JOD]]*1.4085</f>
        <v>12.676500000000001</v>
      </c>
      <c r="F74" s="24"/>
      <c r="G74" s="28">
        <f>_xlfn.XLOOKUP(F74, Sheet2!C:C, Sheet2!D:D)</f>
        <v>0</v>
      </c>
      <c r="H74" s="29">
        <f>Table1[[#This Row],[Added Fees JOD]]*1.4085</f>
        <v>0</v>
      </c>
      <c r="I74" s="48">
        <f>Table1[[#This Row],[Fees in JOD]]+Table1[[#This Row],[Added Fees JOD]]</f>
        <v>9</v>
      </c>
      <c r="J74" s="49">
        <f>Table1[[#This Row],[Fees in USD]]+Table1[[#This Row],[Added Fees USD]]</f>
        <v>12.676500000000001</v>
      </c>
      <c r="K74" s="40"/>
      <c r="L74" s="37"/>
      <c r="M74" s="37"/>
      <c r="N74" s="37"/>
      <c r="O74" s="37"/>
    </row>
    <row r="75" spans="1:15" s="1" customFormat="1" ht="31.2" x14ac:dyDescent="0.6">
      <c r="A75" s="23" t="s">
        <v>9</v>
      </c>
      <c r="B75" s="23" t="s">
        <v>318</v>
      </c>
      <c r="C75" s="24">
        <v>5</v>
      </c>
      <c r="D75" s="25">
        <f>_xlfn.XLOOKUP(C75, Sheet2!A:A, Sheet2!B:B)</f>
        <v>9</v>
      </c>
      <c r="E75" s="26">
        <f>Table1[[#This Row],[Fees in JOD]]*1.4085</f>
        <v>12.676500000000001</v>
      </c>
      <c r="F75" s="24"/>
      <c r="G75" s="28">
        <f>_xlfn.XLOOKUP(F75, Sheet2!C:C, Sheet2!D:D)</f>
        <v>0</v>
      </c>
      <c r="H75" s="29">
        <f>Table1[[#This Row],[Added Fees JOD]]*1.4085</f>
        <v>0</v>
      </c>
      <c r="I75" s="48">
        <f>Table1[[#This Row],[Fees in JOD]]+Table1[[#This Row],[Added Fees JOD]]</f>
        <v>9</v>
      </c>
      <c r="J75" s="49">
        <f>Table1[[#This Row],[Fees in USD]]+Table1[[#This Row],[Added Fees USD]]</f>
        <v>12.676500000000001</v>
      </c>
      <c r="K75" s="40"/>
      <c r="L75" s="37"/>
      <c r="M75" s="37"/>
      <c r="N75" s="37"/>
      <c r="O75" s="37"/>
    </row>
    <row r="76" spans="1:15" s="1" customFormat="1" ht="31.2" x14ac:dyDescent="0.6">
      <c r="A76" s="23" t="s">
        <v>10</v>
      </c>
      <c r="B76" s="23" t="s">
        <v>319</v>
      </c>
      <c r="C76" s="24">
        <v>5</v>
      </c>
      <c r="D76" s="25">
        <f>_xlfn.XLOOKUP(C76, Sheet2!A:A, Sheet2!B:B)</f>
        <v>9</v>
      </c>
      <c r="E76" s="26">
        <f>Table1[[#This Row],[Fees in JOD]]*1.4085</f>
        <v>12.676500000000001</v>
      </c>
      <c r="F76" s="24"/>
      <c r="G76" s="28">
        <f>_xlfn.XLOOKUP(F76, Sheet2!C:C, Sheet2!D:D)</f>
        <v>0</v>
      </c>
      <c r="H76" s="29">
        <f>Table1[[#This Row],[Added Fees JOD]]*1.4085</f>
        <v>0</v>
      </c>
      <c r="I76" s="48">
        <f>Table1[[#This Row],[Fees in JOD]]+Table1[[#This Row],[Added Fees JOD]]</f>
        <v>9</v>
      </c>
      <c r="J76" s="49">
        <f>Table1[[#This Row],[Fees in USD]]+Table1[[#This Row],[Added Fees USD]]</f>
        <v>12.676500000000001</v>
      </c>
      <c r="K76" s="40"/>
      <c r="L76" s="37"/>
      <c r="M76" s="37"/>
      <c r="N76" s="37"/>
      <c r="O76" s="37"/>
    </row>
    <row r="77" spans="1:15" s="1" customFormat="1" ht="31.2" x14ac:dyDescent="0.6">
      <c r="A77" s="23" t="s">
        <v>11</v>
      </c>
      <c r="B77" s="23" t="s">
        <v>320</v>
      </c>
      <c r="C77" s="24">
        <v>5</v>
      </c>
      <c r="D77" s="25">
        <f>_xlfn.XLOOKUP(C77, Sheet2!A:A, Sheet2!B:B)</f>
        <v>9</v>
      </c>
      <c r="E77" s="26">
        <f>Table1[[#This Row],[Fees in JOD]]*1.4085</f>
        <v>12.676500000000001</v>
      </c>
      <c r="F77" s="24"/>
      <c r="G77" s="28">
        <f>_xlfn.XLOOKUP(F77, Sheet2!C:C, Sheet2!D:D)</f>
        <v>0</v>
      </c>
      <c r="H77" s="29">
        <f>Table1[[#This Row],[Added Fees JOD]]*1.4085</f>
        <v>0</v>
      </c>
      <c r="I77" s="48">
        <f>Table1[[#This Row],[Fees in JOD]]+Table1[[#This Row],[Added Fees JOD]]</f>
        <v>9</v>
      </c>
      <c r="J77" s="49">
        <f>Table1[[#This Row],[Fees in USD]]+Table1[[#This Row],[Added Fees USD]]</f>
        <v>12.676500000000001</v>
      </c>
      <c r="K77" s="40"/>
      <c r="L77" s="37"/>
      <c r="M77" s="37"/>
      <c r="N77" s="37"/>
      <c r="O77" s="37"/>
    </row>
    <row r="78" spans="1:15" s="1" customFormat="1" ht="31.2" x14ac:dyDescent="0.6">
      <c r="A78" s="23" t="s">
        <v>12</v>
      </c>
      <c r="B78" s="23" t="s">
        <v>321</v>
      </c>
      <c r="C78" s="24">
        <v>5</v>
      </c>
      <c r="D78" s="25">
        <f>_xlfn.XLOOKUP(C78, Sheet2!A:A, Sheet2!B:B)</f>
        <v>9</v>
      </c>
      <c r="E78" s="26">
        <f>Table1[[#This Row],[Fees in JOD]]*1.4085</f>
        <v>12.676500000000001</v>
      </c>
      <c r="F78" s="24"/>
      <c r="G78" s="28">
        <f>_xlfn.XLOOKUP(F78, Sheet2!C:C, Sheet2!D:D)</f>
        <v>0</v>
      </c>
      <c r="H78" s="29">
        <f>Table1[[#This Row],[Added Fees JOD]]*1.4085</f>
        <v>0</v>
      </c>
      <c r="I78" s="48">
        <f>Table1[[#This Row],[Fees in JOD]]+Table1[[#This Row],[Added Fees JOD]]</f>
        <v>9</v>
      </c>
      <c r="J78" s="49">
        <f>Table1[[#This Row],[Fees in USD]]+Table1[[#This Row],[Added Fees USD]]</f>
        <v>12.676500000000001</v>
      </c>
      <c r="K78" s="40"/>
      <c r="L78" s="37"/>
      <c r="M78" s="37"/>
      <c r="N78" s="37"/>
      <c r="O78" s="37"/>
    </row>
    <row r="79" spans="1:15" s="1" customFormat="1" ht="31.2" x14ac:dyDescent="0.6">
      <c r="A79" s="23" t="s">
        <v>13</v>
      </c>
      <c r="B79" s="23" t="s">
        <v>322</v>
      </c>
      <c r="C79" s="24">
        <v>5</v>
      </c>
      <c r="D79" s="25">
        <f>_xlfn.XLOOKUP(C79, Sheet2!A:A, Sheet2!B:B)</f>
        <v>9</v>
      </c>
      <c r="E79" s="26">
        <f>Table1[[#This Row],[Fees in JOD]]*1.4085</f>
        <v>12.676500000000001</v>
      </c>
      <c r="F79" s="24"/>
      <c r="G79" s="28">
        <f>_xlfn.XLOOKUP(F79, Sheet2!C:C, Sheet2!D:D)</f>
        <v>0</v>
      </c>
      <c r="H79" s="29">
        <f>Table1[[#This Row],[Added Fees JOD]]*1.4085</f>
        <v>0</v>
      </c>
      <c r="I79" s="48">
        <f>Table1[[#This Row],[Fees in JOD]]+Table1[[#This Row],[Added Fees JOD]]</f>
        <v>9</v>
      </c>
      <c r="J79" s="49">
        <f>Table1[[#This Row],[Fees in USD]]+Table1[[#This Row],[Added Fees USD]]</f>
        <v>12.676500000000001</v>
      </c>
      <c r="K79" s="40"/>
      <c r="L79" s="37"/>
      <c r="M79" s="37"/>
      <c r="N79" s="37"/>
      <c r="O79" s="37"/>
    </row>
    <row r="80" spans="1:15" s="1" customFormat="1" ht="31.2" x14ac:dyDescent="0.6">
      <c r="A80" s="23" t="s">
        <v>15</v>
      </c>
      <c r="B80" s="23" t="s">
        <v>323</v>
      </c>
      <c r="C80" s="24">
        <v>5</v>
      </c>
      <c r="D80" s="25">
        <f>_xlfn.XLOOKUP(C80, Sheet2!A:A, Sheet2!B:B)</f>
        <v>9</v>
      </c>
      <c r="E80" s="26">
        <f>Table1[[#This Row],[Fees in JOD]]*1.4085</f>
        <v>12.676500000000001</v>
      </c>
      <c r="F80" s="24"/>
      <c r="G80" s="28">
        <f>_xlfn.XLOOKUP(F80, Sheet2!C:C, Sheet2!D:D)</f>
        <v>0</v>
      </c>
      <c r="H80" s="29">
        <f>Table1[[#This Row],[Added Fees JOD]]*1.4085</f>
        <v>0</v>
      </c>
      <c r="I80" s="48">
        <f>Table1[[#This Row],[Fees in JOD]]+Table1[[#This Row],[Added Fees JOD]]</f>
        <v>9</v>
      </c>
      <c r="J80" s="49">
        <f>Table1[[#This Row],[Fees in USD]]+Table1[[#This Row],[Added Fees USD]]</f>
        <v>12.676500000000001</v>
      </c>
      <c r="K80" s="40"/>
      <c r="L80" s="37"/>
      <c r="M80" s="37"/>
      <c r="N80" s="37"/>
      <c r="O80" s="37"/>
    </row>
    <row r="81" spans="1:15" s="1" customFormat="1" ht="31.2" x14ac:dyDescent="0.6">
      <c r="A81" s="23" t="s">
        <v>17</v>
      </c>
      <c r="B81" s="23" t="s">
        <v>324</v>
      </c>
      <c r="C81" s="24">
        <v>5</v>
      </c>
      <c r="D81" s="25">
        <f>_xlfn.XLOOKUP(C81, Sheet2!A:A, Sheet2!B:B)</f>
        <v>9</v>
      </c>
      <c r="E81" s="26">
        <f>Table1[[#This Row],[Fees in JOD]]*1.4085</f>
        <v>12.676500000000001</v>
      </c>
      <c r="F81" s="24"/>
      <c r="G81" s="28">
        <f>_xlfn.XLOOKUP(F81, Sheet2!C:C, Sheet2!D:D)</f>
        <v>0</v>
      </c>
      <c r="H81" s="29">
        <f>Table1[[#This Row],[Added Fees JOD]]*1.4085</f>
        <v>0</v>
      </c>
      <c r="I81" s="48">
        <f>Table1[[#This Row],[Fees in JOD]]+Table1[[#This Row],[Added Fees JOD]]</f>
        <v>9</v>
      </c>
      <c r="J81" s="49">
        <f>Table1[[#This Row],[Fees in USD]]+Table1[[#This Row],[Added Fees USD]]</f>
        <v>12.676500000000001</v>
      </c>
      <c r="K81" s="40"/>
      <c r="L81" s="37"/>
      <c r="M81" s="37"/>
      <c r="N81" s="37"/>
      <c r="O81" s="37"/>
    </row>
    <row r="82" spans="1:15" s="1" customFormat="1" ht="31.2" x14ac:dyDescent="0.6">
      <c r="A82" s="23" t="s">
        <v>19</v>
      </c>
      <c r="B82" s="23" t="s">
        <v>325</v>
      </c>
      <c r="C82" s="24">
        <v>5</v>
      </c>
      <c r="D82" s="25">
        <f>_xlfn.XLOOKUP(C82, Sheet2!A:A, Sheet2!B:B)</f>
        <v>9</v>
      </c>
      <c r="E82" s="26">
        <f>Table1[[#This Row],[Fees in JOD]]*1.4085</f>
        <v>12.676500000000001</v>
      </c>
      <c r="F82" s="24"/>
      <c r="G82" s="28">
        <f>_xlfn.XLOOKUP(F82, Sheet2!C:C, Sheet2!D:D)</f>
        <v>0</v>
      </c>
      <c r="H82" s="29">
        <f>Table1[[#This Row],[Added Fees JOD]]*1.4085</f>
        <v>0</v>
      </c>
      <c r="I82" s="48">
        <f>Table1[[#This Row],[Fees in JOD]]+Table1[[#This Row],[Added Fees JOD]]</f>
        <v>9</v>
      </c>
      <c r="J82" s="49">
        <f>Table1[[#This Row],[Fees in USD]]+Table1[[#This Row],[Added Fees USD]]</f>
        <v>12.676500000000001</v>
      </c>
      <c r="K82" s="40"/>
      <c r="L82" s="37"/>
      <c r="M82" s="37"/>
      <c r="N82" s="37"/>
      <c r="O82" s="37"/>
    </row>
    <row r="83" spans="1:15" s="1" customFormat="1" ht="36" x14ac:dyDescent="0.6">
      <c r="A83" s="23" t="s">
        <v>20</v>
      </c>
      <c r="B83" s="23" t="s">
        <v>326</v>
      </c>
      <c r="C83" s="24">
        <v>5</v>
      </c>
      <c r="D83" s="25">
        <f>_xlfn.XLOOKUP(C83, Sheet2!A:A, Sheet2!B:B)</f>
        <v>9</v>
      </c>
      <c r="E83" s="26">
        <f>Table1[[#This Row],[Fees in JOD]]*1.4085</f>
        <v>12.676500000000001</v>
      </c>
      <c r="F83" s="24"/>
      <c r="G83" s="28">
        <f>_xlfn.XLOOKUP(F83, Sheet2!C:C, Sheet2!D:D)</f>
        <v>0</v>
      </c>
      <c r="H83" s="29">
        <f>Table1[[#This Row],[Added Fees JOD]]*1.4085</f>
        <v>0</v>
      </c>
      <c r="I83" s="48">
        <f>Table1[[#This Row],[Fees in JOD]]+Table1[[#This Row],[Added Fees JOD]]</f>
        <v>9</v>
      </c>
      <c r="J83" s="49">
        <f>Table1[[#This Row],[Fees in USD]]+Table1[[#This Row],[Added Fees USD]]</f>
        <v>12.676500000000001</v>
      </c>
      <c r="K83" s="40"/>
      <c r="L83" s="37"/>
      <c r="M83" s="37"/>
      <c r="N83" s="37"/>
      <c r="O83" s="37"/>
    </row>
    <row r="84" spans="1:15" s="1" customFormat="1" ht="31.2" x14ac:dyDescent="0.6">
      <c r="A84" s="23" t="s">
        <v>21</v>
      </c>
      <c r="B84" s="23" t="s">
        <v>327</v>
      </c>
      <c r="C84" s="24">
        <v>5</v>
      </c>
      <c r="D84" s="25">
        <f>_xlfn.XLOOKUP(C84, Sheet2!A:A, Sheet2!B:B)</f>
        <v>9</v>
      </c>
      <c r="E84" s="26">
        <f>Table1[[#This Row],[Fees in JOD]]*1.4085</f>
        <v>12.676500000000001</v>
      </c>
      <c r="F84" s="24"/>
      <c r="G84" s="28">
        <f>_xlfn.XLOOKUP(F84, Sheet2!C:C, Sheet2!D:D)</f>
        <v>0</v>
      </c>
      <c r="H84" s="29">
        <f>Table1[[#This Row],[Added Fees JOD]]*1.4085</f>
        <v>0</v>
      </c>
      <c r="I84" s="48">
        <f>Table1[[#This Row],[Fees in JOD]]+Table1[[#This Row],[Added Fees JOD]]</f>
        <v>9</v>
      </c>
      <c r="J84" s="49">
        <f>Table1[[#This Row],[Fees in USD]]+Table1[[#This Row],[Added Fees USD]]</f>
        <v>12.676500000000001</v>
      </c>
      <c r="K84" s="40"/>
      <c r="L84" s="37"/>
      <c r="M84" s="37"/>
      <c r="N84" s="37"/>
      <c r="O84" s="37"/>
    </row>
    <row r="85" spans="1:15" s="1" customFormat="1" ht="31.2" x14ac:dyDescent="0.6">
      <c r="A85" s="23" t="s">
        <v>22</v>
      </c>
      <c r="B85" s="23" t="s">
        <v>328</v>
      </c>
      <c r="C85" s="24">
        <v>5</v>
      </c>
      <c r="D85" s="25">
        <f>_xlfn.XLOOKUP(C85, Sheet2!A:A, Sheet2!B:B)</f>
        <v>9</v>
      </c>
      <c r="E85" s="26">
        <f>Table1[[#This Row],[Fees in JOD]]*1.4085</f>
        <v>12.676500000000001</v>
      </c>
      <c r="F85" s="24"/>
      <c r="G85" s="28">
        <f>_xlfn.XLOOKUP(F85, Sheet2!C:C, Sheet2!D:D)</f>
        <v>0</v>
      </c>
      <c r="H85" s="29">
        <f>Table1[[#This Row],[Added Fees JOD]]*1.4085</f>
        <v>0</v>
      </c>
      <c r="I85" s="48">
        <f>Table1[[#This Row],[Fees in JOD]]+Table1[[#This Row],[Added Fees JOD]]</f>
        <v>9</v>
      </c>
      <c r="J85" s="49">
        <f>Table1[[#This Row],[Fees in USD]]+Table1[[#This Row],[Added Fees USD]]</f>
        <v>12.676500000000001</v>
      </c>
      <c r="K85" s="40"/>
      <c r="L85" s="37"/>
      <c r="M85" s="37"/>
      <c r="N85" s="37"/>
      <c r="O85" s="37"/>
    </row>
    <row r="86" spans="1:15" s="1" customFormat="1" ht="31.2" x14ac:dyDescent="0.6">
      <c r="A86" s="23" t="s">
        <v>23</v>
      </c>
      <c r="B86" s="23" t="s">
        <v>329</v>
      </c>
      <c r="C86" s="24">
        <v>5</v>
      </c>
      <c r="D86" s="25">
        <f>_xlfn.XLOOKUP(C86, Sheet2!A:A, Sheet2!B:B)</f>
        <v>9</v>
      </c>
      <c r="E86" s="26">
        <f>Table1[[#This Row],[Fees in JOD]]*1.4085</f>
        <v>12.676500000000001</v>
      </c>
      <c r="F86" s="24"/>
      <c r="G86" s="28">
        <f>_xlfn.XLOOKUP(F86, Sheet2!C:C, Sheet2!D:D)</f>
        <v>0</v>
      </c>
      <c r="H86" s="29">
        <f>Table1[[#This Row],[Added Fees JOD]]*1.4085</f>
        <v>0</v>
      </c>
      <c r="I86" s="48">
        <f>Table1[[#This Row],[Fees in JOD]]+Table1[[#This Row],[Added Fees JOD]]</f>
        <v>9</v>
      </c>
      <c r="J86" s="49">
        <f>Table1[[#This Row],[Fees in USD]]+Table1[[#This Row],[Added Fees USD]]</f>
        <v>12.676500000000001</v>
      </c>
      <c r="K86" s="40"/>
      <c r="L86" s="37"/>
      <c r="M86" s="37"/>
      <c r="N86" s="37"/>
      <c r="O86" s="37"/>
    </row>
    <row r="87" spans="1:15" s="1" customFormat="1" ht="36" x14ac:dyDescent="0.6">
      <c r="A87" s="23" t="s">
        <v>24</v>
      </c>
      <c r="B87" s="23" t="s">
        <v>330</v>
      </c>
      <c r="C87" s="24">
        <v>5</v>
      </c>
      <c r="D87" s="25">
        <f>_xlfn.XLOOKUP(C87, Sheet2!A:A, Sheet2!B:B)</f>
        <v>9</v>
      </c>
      <c r="E87" s="26">
        <f>Table1[[#This Row],[Fees in JOD]]*1.4085</f>
        <v>12.676500000000001</v>
      </c>
      <c r="F87" s="24"/>
      <c r="G87" s="28">
        <f>_xlfn.XLOOKUP(F87, Sheet2!C:C, Sheet2!D:D)</f>
        <v>0</v>
      </c>
      <c r="H87" s="29">
        <f>Table1[[#This Row],[Added Fees JOD]]*1.4085</f>
        <v>0</v>
      </c>
      <c r="I87" s="48">
        <f>Table1[[#This Row],[Fees in JOD]]+Table1[[#This Row],[Added Fees JOD]]</f>
        <v>9</v>
      </c>
      <c r="J87" s="49">
        <f>Table1[[#This Row],[Fees in USD]]+Table1[[#This Row],[Added Fees USD]]</f>
        <v>12.676500000000001</v>
      </c>
      <c r="K87" s="40"/>
      <c r="L87" s="37"/>
      <c r="M87" s="37"/>
      <c r="N87" s="37"/>
      <c r="O87" s="37"/>
    </row>
    <row r="88" spans="1:15" s="1" customFormat="1" ht="36" x14ac:dyDescent="0.6">
      <c r="A88" s="23" t="s">
        <v>25</v>
      </c>
      <c r="B88" s="23" t="s">
        <v>331</v>
      </c>
      <c r="C88" s="24">
        <v>5</v>
      </c>
      <c r="D88" s="25">
        <f>_xlfn.XLOOKUP(C88, Sheet2!A:A, Sheet2!B:B)</f>
        <v>9</v>
      </c>
      <c r="E88" s="26">
        <f>Table1[[#This Row],[Fees in JOD]]*1.4085</f>
        <v>12.676500000000001</v>
      </c>
      <c r="F88" s="24"/>
      <c r="G88" s="28">
        <f>_xlfn.XLOOKUP(F88, Sheet2!C:C, Sheet2!D:D)</f>
        <v>0</v>
      </c>
      <c r="H88" s="29">
        <f>Table1[[#This Row],[Added Fees JOD]]*1.4085</f>
        <v>0</v>
      </c>
      <c r="I88" s="48">
        <f>Table1[[#This Row],[Fees in JOD]]+Table1[[#This Row],[Added Fees JOD]]</f>
        <v>9</v>
      </c>
      <c r="J88" s="49">
        <f>Table1[[#This Row],[Fees in USD]]+Table1[[#This Row],[Added Fees USD]]</f>
        <v>12.676500000000001</v>
      </c>
      <c r="K88" s="40"/>
      <c r="L88" s="37"/>
      <c r="M88" s="37"/>
      <c r="N88" s="37"/>
      <c r="O88" s="37"/>
    </row>
    <row r="89" spans="1:15" s="1" customFormat="1" ht="31.2" x14ac:dyDescent="0.6">
      <c r="A89" s="23" t="s">
        <v>26</v>
      </c>
      <c r="B89" s="23" t="s">
        <v>332</v>
      </c>
      <c r="C89" s="24">
        <v>5</v>
      </c>
      <c r="D89" s="25">
        <f>_xlfn.XLOOKUP(C89, Sheet2!A:A, Sheet2!B:B)</f>
        <v>9</v>
      </c>
      <c r="E89" s="26">
        <f>Table1[[#This Row],[Fees in JOD]]*1.4085</f>
        <v>12.676500000000001</v>
      </c>
      <c r="F89" s="24"/>
      <c r="G89" s="28">
        <f>_xlfn.XLOOKUP(F89, Sheet2!C:C, Sheet2!D:D)</f>
        <v>0</v>
      </c>
      <c r="H89" s="29">
        <f>Table1[[#This Row],[Added Fees JOD]]*1.4085</f>
        <v>0</v>
      </c>
      <c r="I89" s="48">
        <f>Table1[[#This Row],[Fees in JOD]]+Table1[[#This Row],[Added Fees JOD]]</f>
        <v>9</v>
      </c>
      <c r="J89" s="49">
        <f>Table1[[#This Row],[Fees in USD]]+Table1[[#This Row],[Added Fees USD]]</f>
        <v>12.676500000000001</v>
      </c>
      <c r="K89" s="40"/>
      <c r="L89" s="37"/>
      <c r="M89" s="37"/>
      <c r="N89" s="37"/>
      <c r="O89" s="37"/>
    </row>
    <row r="90" spans="1:15" s="1" customFormat="1" ht="31.2" x14ac:dyDescent="0.6">
      <c r="A90" s="23" t="s">
        <v>28</v>
      </c>
      <c r="B90" s="23" t="s">
        <v>333</v>
      </c>
      <c r="C90" s="24">
        <v>5</v>
      </c>
      <c r="D90" s="25">
        <f>_xlfn.XLOOKUP(C90, Sheet2!A:A, Sheet2!B:B)</f>
        <v>9</v>
      </c>
      <c r="E90" s="26">
        <f>Table1[[#This Row],[Fees in JOD]]*1.4085</f>
        <v>12.676500000000001</v>
      </c>
      <c r="F90" s="24"/>
      <c r="G90" s="28">
        <f>_xlfn.XLOOKUP(F90, Sheet2!C:C, Sheet2!D:D)</f>
        <v>0</v>
      </c>
      <c r="H90" s="29">
        <f>Table1[[#This Row],[Added Fees JOD]]*1.4085</f>
        <v>0</v>
      </c>
      <c r="I90" s="48">
        <f>Table1[[#This Row],[Fees in JOD]]+Table1[[#This Row],[Added Fees JOD]]</f>
        <v>9</v>
      </c>
      <c r="J90" s="49">
        <f>Table1[[#This Row],[Fees in USD]]+Table1[[#This Row],[Added Fees USD]]</f>
        <v>12.676500000000001</v>
      </c>
      <c r="K90" s="40"/>
      <c r="L90" s="37"/>
      <c r="M90" s="37"/>
      <c r="N90" s="37"/>
      <c r="O90" s="37"/>
    </row>
    <row r="91" spans="1:15" s="1" customFormat="1" ht="31.2" x14ac:dyDescent="0.6">
      <c r="A91" s="23" t="s">
        <v>29</v>
      </c>
      <c r="B91" s="23" t="s">
        <v>334</v>
      </c>
      <c r="C91" s="24">
        <v>5</v>
      </c>
      <c r="D91" s="25">
        <f>_xlfn.XLOOKUP(C91, Sheet2!A:A, Sheet2!B:B)</f>
        <v>9</v>
      </c>
      <c r="E91" s="26">
        <f>Table1[[#This Row],[Fees in JOD]]*1.4085</f>
        <v>12.676500000000001</v>
      </c>
      <c r="F91" s="24"/>
      <c r="G91" s="28">
        <f>_xlfn.XLOOKUP(F91, Sheet2!C:C, Sheet2!D:D)</f>
        <v>0</v>
      </c>
      <c r="H91" s="29">
        <f>Table1[[#This Row],[Added Fees JOD]]*1.4085</f>
        <v>0</v>
      </c>
      <c r="I91" s="48">
        <f>Table1[[#This Row],[Fees in JOD]]+Table1[[#This Row],[Added Fees JOD]]</f>
        <v>9</v>
      </c>
      <c r="J91" s="49">
        <f>Table1[[#This Row],[Fees in USD]]+Table1[[#This Row],[Added Fees USD]]</f>
        <v>12.676500000000001</v>
      </c>
      <c r="K91" s="40"/>
      <c r="L91" s="37"/>
      <c r="M91" s="37"/>
      <c r="N91" s="37"/>
      <c r="O91" s="37"/>
    </row>
    <row r="92" spans="1:15" s="1" customFormat="1" ht="31.2" x14ac:dyDescent="0.6">
      <c r="A92" s="23" t="s">
        <v>32</v>
      </c>
      <c r="B92" s="23" t="s">
        <v>335</v>
      </c>
      <c r="C92" s="24">
        <v>5</v>
      </c>
      <c r="D92" s="25">
        <f>_xlfn.XLOOKUP(C92, Sheet2!A:A, Sheet2!B:B)</f>
        <v>9</v>
      </c>
      <c r="E92" s="26">
        <f>Table1[[#This Row],[Fees in JOD]]*1.4085</f>
        <v>12.676500000000001</v>
      </c>
      <c r="F92" s="24"/>
      <c r="G92" s="28">
        <f>_xlfn.XLOOKUP(F92, Sheet2!C:C, Sheet2!D:D)</f>
        <v>0</v>
      </c>
      <c r="H92" s="29">
        <f>Table1[[#This Row],[Added Fees JOD]]*1.4085</f>
        <v>0</v>
      </c>
      <c r="I92" s="48">
        <f>Table1[[#This Row],[Fees in JOD]]+Table1[[#This Row],[Added Fees JOD]]</f>
        <v>9</v>
      </c>
      <c r="J92" s="49">
        <f>Table1[[#This Row],[Fees in USD]]+Table1[[#This Row],[Added Fees USD]]</f>
        <v>12.676500000000001</v>
      </c>
      <c r="K92" s="40"/>
      <c r="L92" s="37"/>
      <c r="M92" s="37"/>
      <c r="N92" s="37"/>
      <c r="O92" s="37"/>
    </row>
    <row r="93" spans="1:15" s="1" customFormat="1" ht="31.2" x14ac:dyDescent="0.6">
      <c r="A93" s="23" t="s">
        <v>33</v>
      </c>
      <c r="B93" s="23" t="s">
        <v>336</v>
      </c>
      <c r="C93" s="24">
        <v>5</v>
      </c>
      <c r="D93" s="25">
        <f>_xlfn.XLOOKUP(C93, Sheet2!A:A, Sheet2!B:B)</f>
        <v>9</v>
      </c>
      <c r="E93" s="26">
        <f>Table1[[#This Row],[Fees in JOD]]*1.4085</f>
        <v>12.676500000000001</v>
      </c>
      <c r="F93" s="24"/>
      <c r="G93" s="28">
        <f>_xlfn.XLOOKUP(F93, Sheet2!C:C, Sheet2!D:D)</f>
        <v>0</v>
      </c>
      <c r="H93" s="29">
        <f>Table1[[#This Row],[Added Fees JOD]]*1.4085</f>
        <v>0</v>
      </c>
      <c r="I93" s="48">
        <f>Table1[[#This Row],[Fees in JOD]]+Table1[[#This Row],[Added Fees JOD]]</f>
        <v>9</v>
      </c>
      <c r="J93" s="49">
        <f>Table1[[#This Row],[Fees in USD]]+Table1[[#This Row],[Added Fees USD]]</f>
        <v>12.676500000000001</v>
      </c>
      <c r="K93" s="40"/>
      <c r="L93" s="37"/>
      <c r="M93" s="37"/>
      <c r="N93" s="37"/>
      <c r="O93" s="37"/>
    </row>
    <row r="94" spans="1:15" s="1" customFormat="1" ht="31.2" x14ac:dyDescent="0.6">
      <c r="A94" s="23" t="s">
        <v>34</v>
      </c>
      <c r="B94" s="23" t="s">
        <v>337</v>
      </c>
      <c r="C94" s="24">
        <v>5</v>
      </c>
      <c r="D94" s="25">
        <f>_xlfn.XLOOKUP(C94, Sheet2!A:A, Sheet2!B:B)</f>
        <v>9</v>
      </c>
      <c r="E94" s="26">
        <f>Table1[[#This Row],[Fees in JOD]]*1.4085</f>
        <v>12.676500000000001</v>
      </c>
      <c r="F94" s="24"/>
      <c r="G94" s="28">
        <f>_xlfn.XLOOKUP(F94, Sheet2!C:C, Sheet2!D:D)</f>
        <v>0</v>
      </c>
      <c r="H94" s="29">
        <f>Table1[[#This Row],[Added Fees JOD]]*1.4085</f>
        <v>0</v>
      </c>
      <c r="I94" s="48">
        <f>Table1[[#This Row],[Fees in JOD]]+Table1[[#This Row],[Added Fees JOD]]</f>
        <v>9</v>
      </c>
      <c r="J94" s="49">
        <f>Table1[[#This Row],[Fees in USD]]+Table1[[#This Row],[Added Fees USD]]</f>
        <v>12.676500000000001</v>
      </c>
      <c r="K94" s="40"/>
      <c r="L94" s="37"/>
      <c r="M94" s="37"/>
      <c r="N94" s="37"/>
      <c r="O94" s="37"/>
    </row>
    <row r="95" spans="1:15" s="1" customFormat="1" ht="31.2" x14ac:dyDescent="0.6">
      <c r="A95" s="23" t="s">
        <v>38</v>
      </c>
      <c r="B95" s="23" t="s">
        <v>338</v>
      </c>
      <c r="C95" s="24">
        <v>5</v>
      </c>
      <c r="D95" s="25">
        <f>_xlfn.XLOOKUP(C95, Sheet2!A:A, Sheet2!B:B)</f>
        <v>9</v>
      </c>
      <c r="E95" s="26">
        <f>Table1[[#This Row],[Fees in JOD]]*1.4085</f>
        <v>12.676500000000001</v>
      </c>
      <c r="F95" s="24"/>
      <c r="G95" s="28">
        <f>_xlfn.XLOOKUP(F95, Sheet2!C:C, Sheet2!D:D)</f>
        <v>0</v>
      </c>
      <c r="H95" s="29">
        <f>Table1[[#This Row],[Added Fees JOD]]*1.4085</f>
        <v>0</v>
      </c>
      <c r="I95" s="48">
        <f>Table1[[#This Row],[Fees in JOD]]+Table1[[#This Row],[Added Fees JOD]]</f>
        <v>9</v>
      </c>
      <c r="J95" s="49">
        <f>Table1[[#This Row],[Fees in USD]]+Table1[[#This Row],[Added Fees USD]]</f>
        <v>12.676500000000001</v>
      </c>
      <c r="K95" s="40"/>
      <c r="L95" s="37"/>
      <c r="M95" s="37"/>
      <c r="N95" s="37"/>
      <c r="O95" s="37"/>
    </row>
    <row r="96" spans="1:15" s="1" customFormat="1" ht="31.2" x14ac:dyDescent="0.6">
      <c r="A96" s="23" t="s">
        <v>39</v>
      </c>
      <c r="B96" s="23" t="s">
        <v>339</v>
      </c>
      <c r="C96" s="24">
        <v>5</v>
      </c>
      <c r="D96" s="25">
        <f>_xlfn.XLOOKUP(C96, Sheet2!A:A, Sheet2!B:B)</f>
        <v>9</v>
      </c>
      <c r="E96" s="26">
        <f>Table1[[#This Row],[Fees in JOD]]*1.4085</f>
        <v>12.676500000000001</v>
      </c>
      <c r="F96" s="24"/>
      <c r="G96" s="28">
        <f>_xlfn.XLOOKUP(F96, Sheet2!C:C, Sheet2!D:D)</f>
        <v>0</v>
      </c>
      <c r="H96" s="29">
        <f>Table1[[#This Row],[Added Fees JOD]]*1.4085</f>
        <v>0</v>
      </c>
      <c r="I96" s="48">
        <f>Table1[[#This Row],[Fees in JOD]]+Table1[[#This Row],[Added Fees JOD]]</f>
        <v>9</v>
      </c>
      <c r="J96" s="49">
        <f>Table1[[#This Row],[Fees in USD]]+Table1[[#This Row],[Added Fees USD]]</f>
        <v>12.676500000000001</v>
      </c>
      <c r="K96" s="40"/>
      <c r="L96" s="37"/>
      <c r="M96" s="37"/>
      <c r="N96" s="37"/>
      <c r="O96" s="37"/>
    </row>
    <row r="97" spans="1:15" s="1" customFormat="1" ht="31.2" x14ac:dyDescent="0.6">
      <c r="A97" s="23" t="s">
        <v>41</v>
      </c>
      <c r="B97" s="23" t="s">
        <v>340</v>
      </c>
      <c r="C97" s="24">
        <v>5</v>
      </c>
      <c r="D97" s="25">
        <f>_xlfn.XLOOKUP(C97, Sheet2!A:A, Sheet2!B:B)</f>
        <v>9</v>
      </c>
      <c r="E97" s="26">
        <f>Table1[[#This Row],[Fees in JOD]]*1.4085</f>
        <v>12.676500000000001</v>
      </c>
      <c r="F97" s="24"/>
      <c r="G97" s="28">
        <f>_xlfn.XLOOKUP(F97, Sheet2!C:C, Sheet2!D:D)</f>
        <v>0</v>
      </c>
      <c r="H97" s="29">
        <f>Table1[[#This Row],[Added Fees JOD]]*1.4085</f>
        <v>0</v>
      </c>
      <c r="I97" s="48">
        <f>Table1[[#This Row],[Fees in JOD]]+Table1[[#This Row],[Added Fees JOD]]</f>
        <v>9</v>
      </c>
      <c r="J97" s="49">
        <f>Table1[[#This Row],[Fees in USD]]+Table1[[#This Row],[Added Fees USD]]</f>
        <v>12.676500000000001</v>
      </c>
      <c r="K97" s="40"/>
      <c r="L97" s="37"/>
      <c r="M97" s="37"/>
      <c r="N97" s="37"/>
      <c r="O97" s="37"/>
    </row>
    <row r="98" spans="1:15" s="1" customFormat="1" ht="31.2" x14ac:dyDescent="0.6">
      <c r="A98" s="23" t="s">
        <v>42</v>
      </c>
      <c r="B98" s="23" t="s">
        <v>341</v>
      </c>
      <c r="C98" s="24">
        <v>5</v>
      </c>
      <c r="D98" s="25">
        <f>_xlfn.XLOOKUP(C98, Sheet2!A:A, Sheet2!B:B)</f>
        <v>9</v>
      </c>
      <c r="E98" s="26">
        <f>Table1[[#This Row],[Fees in JOD]]*1.4085</f>
        <v>12.676500000000001</v>
      </c>
      <c r="F98" s="24"/>
      <c r="G98" s="28">
        <f>_xlfn.XLOOKUP(F98, Sheet2!C:C, Sheet2!D:D)</f>
        <v>0</v>
      </c>
      <c r="H98" s="29">
        <f>Table1[[#This Row],[Added Fees JOD]]*1.4085</f>
        <v>0</v>
      </c>
      <c r="I98" s="48">
        <f>Table1[[#This Row],[Fees in JOD]]+Table1[[#This Row],[Added Fees JOD]]</f>
        <v>9</v>
      </c>
      <c r="J98" s="49">
        <f>Table1[[#This Row],[Fees in USD]]+Table1[[#This Row],[Added Fees USD]]</f>
        <v>12.676500000000001</v>
      </c>
      <c r="K98" s="40"/>
      <c r="L98" s="37"/>
      <c r="M98" s="37"/>
      <c r="N98" s="37"/>
      <c r="O98" s="37"/>
    </row>
    <row r="99" spans="1:15" s="1" customFormat="1" ht="31.2" x14ac:dyDescent="0.6">
      <c r="A99" s="23" t="s">
        <v>44</v>
      </c>
      <c r="B99" s="23" t="s">
        <v>342</v>
      </c>
      <c r="C99" s="24">
        <v>5</v>
      </c>
      <c r="D99" s="25">
        <f>_xlfn.XLOOKUP(C99, Sheet2!A:A, Sheet2!B:B)</f>
        <v>9</v>
      </c>
      <c r="E99" s="26">
        <f>Table1[[#This Row],[Fees in JOD]]*1.4085</f>
        <v>12.676500000000001</v>
      </c>
      <c r="F99" s="24"/>
      <c r="G99" s="28">
        <f>_xlfn.XLOOKUP(F99, Sheet2!C:C, Sheet2!D:D)</f>
        <v>0</v>
      </c>
      <c r="H99" s="29">
        <f>Table1[[#This Row],[Added Fees JOD]]*1.4085</f>
        <v>0</v>
      </c>
      <c r="I99" s="48">
        <f>Table1[[#This Row],[Fees in JOD]]+Table1[[#This Row],[Added Fees JOD]]</f>
        <v>9</v>
      </c>
      <c r="J99" s="49">
        <f>Table1[[#This Row],[Fees in USD]]+Table1[[#This Row],[Added Fees USD]]</f>
        <v>12.676500000000001</v>
      </c>
      <c r="K99" s="40"/>
      <c r="L99" s="37"/>
      <c r="M99" s="37"/>
      <c r="N99" s="37"/>
      <c r="O99" s="37"/>
    </row>
    <row r="100" spans="1:15" s="1" customFormat="1" ht="31.2" x14ac:dyDescent="0.6">
      <c r="A100" s="23" t="s">
        <v>46</v>
      </c>
      <c r="B100" s="23" t="s">
        <v>343</v>
      </c>
      <c r="C100" s="24">
        <v>5</v>
      </c>
      <c r="D100" s="25">
        <f>_xlfn.XLOOKUP(C100, Sheet2!A:A, Sheet2!B:B)</f>
        <v>9</v>
      </c>
      <c r="E100" s="26">
        <f>Table1[[#This Row],[Fees in JOD]]*1.4085</f>
        <v>12.676500000000001</v>
      </c>
      <c r="F100" s="24"/>
      <c r="G100" s="28">
        <f>_xlfn.XLOOKUP(F100, Sheet2!C:C, Sheet2!D:D)</f>
        <v>0</v>
      </c>
      <c r="H100" s="29">
        <f>Table1[[#This Row],[Added Fees JOD]]*1.4085</f>
        <v>0</v>
      </c>
      <c r="I100" s="48">
        <f>Table1[[#This Row],[Fees in JOD]]+Table1[[#This Row],[Added Fees JOD]]</f>
        <v>9</v>
      </c>
      <c r="J100" s="49">
        <f>Table1[[#This Row],[Fees in USD]]+Table1[[#This Row],[Added Fees USD]]</f>
        <v>12.676500000000001</v>
      </c>
      <c r="K100" s="40"/>
      <c r="L100" s="37"/>
      <c r="M100" s="37"/>
      <c r="N100" s="37"/>
      <c r="O100" s="37"/>
    </row>
    <row r="101" spans="1:15" s="1" customFormat="1" ht="31.2" x14ac:dyDescent="0.6">
      <c r="A101" s="23" t="s">
        <v>48</v>
      </c>
      <c r="B101" s="23" t="s">
        <v>344</v>
      </c>
      <c r="C101" s="24">
        <v>5</v>
      </c>
      <c r="D101" s="25">
        <f>_xlfn.XLOOKUP(C101, Sheet2!A:A, Sheet2!B:B)</f>
        <v>9</v>
      </c>
      <c r="E101" s="26">
        <f>Table1[[#This Row],[Fees in JOD]]*1.4085</f>
        <v>12.676500000000001</v>
      </c>
      <c r="F101" s="24"/>
      <c r="G101" s="28">
        <f>_xlfn.XLOOKUP(F101, Sheet2!C:C, Sheet2!D:D)</f>
        <v>0</v>
      </c>
      <c r="H101" s="29">
        <f>Table1[[#This Row],[Added Fees JOD]]*1.4085</f>
        <v>0</v>
      </c>
      <c r="I101" s="48">
        <f>Table1[[#This Row],[Fees in JOD]]+Table1[[#This Row],[Added Fees JOD]]</f>
        <v>9</v>
      </c>
      <c r="J101" s="49">
        <f>Table1[[#This Row],[Fees in USD]]+Table1[[#This Row],[Added Fees USD]]</f>
        <v>12.676500000000001</v>
      </c>
      <c r="K101" s="40"/>
      <c r="L101" s="37"/>
      <c r="M101" s="37"/>
      <c r="N101" s="37"/>
      <c r="O101" s="37"/>
    </row>
    <row r="102" spans="1:15" s="1" customFormat="1" ht="31.2" x14ac:dyDescent="0.6">
      <c r="A102" s="23" t="s">
        <v>52</v>
      </c>
      <c r="B102" s="23" t="s">
        <v>345</v>
      </c>
      <c r="C102" s="24">
        <v>5</v>
      </c>
      <c r="D102" s="25">
        <f>_xlfn.XLOOKUP(C102, Sheet2!A:A, Sheet2!B:B)</f>
        <v>9</v>
      </c>
      <c r="E102" s="26">
        <f>Table1[[#This Row],[Fees in JOD]]*1.4085</f>
        <v>12.676500000000001</v>
      </c>
      <c r="F102" s="24"/>
      <c r="G102" s="28">
        <f>_xlfn.XLOOKUP(F102, Sheet2!C:C, Sheet2!D:D)</f>
        <v>0</v>
      </c>
      <c r="H102" s="29">
        <f>Table1[[#This Row],[Added Fees JOD]]*1.4085</f>
        <v>0</v>
      </c>
      <c r="I102" s="48">
        <f>Table1[[#This Row],[Fees in JOD]]+Table1[[#This Row],[Added Fees JOD]]</f>
        <v>9</v>
      </c>
      <c r="J102" s="49">
        <f>Table1[[#This Row],[Fees in USD]]+Table1[[#This Row],[Added Fees USD]]</f>
        <v>12.676500000000001</v>
      </c>
      <c r="K102" s="40"/>
      <c r="L102" s="37"/>
      <c r="M102" s="37"/>
      <c r="N102" s="37"/>
      <c r="O102" s="37"/>
    </row>
    <row r="103" spans="1:15" s="1" customFormat="1" ht="31.2" x14ac:dyDescent="0.6">
      <c r="A103" s="23" t="s">
        <v>55</v>
      </c>
      <c r="B103" s="23" t="s">
        <v>346</v>
      </c>
      <c r="C103" s="24">
        <v>5</v>
      </c>
      <c r="D103" s="25">
        <f>_xlfn.XLOOKUP(C103, Sheet2!A:A, Sheet2!B:B)</f>
        <v>9</v>
      </c>
      <c r="E103" s="26">
        <f>Table1[[#This Row],[Fees in JOD]]*1.4085</f>
        <v>12.676500000000001</v>
      </c>
      <c r="F103" s="24"/>
      <c r="G103" s="28">
        <f>_xlfn.XLOOKUP(F103, Sheet2!C:C, Sheet2!D:D)</f>
        <v>0</v>
      </c>
      <c r="H103" s="29">
        <f>Table1[[#This Row],[Added Fees JOD]]*1.4085</f>
        <v>0</v>
      </c>
      <c r="I103" s="48">
        <f>Table1[[#This Row],[Fees in JOD]]+Table1[[#This Row],[Added Fees JOD]]</f>
        <v>9</v>
      </c>
      <c r="J103" s="49">
        <f>Table1[[#This Row],[Fees in USD]]+Table1[[#This Row],[Added Fees USD]]</f>
        <v>12.676500000000001</v>
      </c>
      <c r="K103" s="40"/>
      <c r="L103" s="37"/>
      <c r="M103" s="37"/>
      <c r="N103" s="37"/>
      <c r="O103" s="37"/>
    </row>
    <row r="104" spans="1:15" s="1" customFormat="1" ht="36" x14ac:dyDescent="0.6">
      <c r="A104" s="23" t="s">
        <v>58</v>
      </c>
      <c r="B104" s="23" t="s">
        <v>347</v>
      </c>
      <c r="C104" s="24">
        <v>5</v>
      </c>
      <c r="D104" s="25">
        <f>_xlfn.XLOOKUP(C104, Sheet2!A:A, Sheet2!B:B)</f>
        <v>9</v>
      </c>
      <c r="E104" s="26">
        <f>Table1[[#This Row],[Fees in JOD]]*1.4085</f>
        <v>12.676500000000001</v>
      </c>
      <c r="F104" s="24"/>
      <c r="G104" s="28">
        <f>_xlfn.XLOOKUP(F104, Sheet2!C:C, Sheet2!D:D)</f>
        <v>0</v>
      </c>
      <c r="H104" s="29">
        <f>Table1[[#This Row],[Added Fees JOD]]*1.4085</f>
        <v>0</v>
      </c>
      <c r="I104" s="48">
        <f>Table1[[#This Row],[Fees in JOD]]+Table1[[#This Row],[Added Fees JOD]]</f>
        <v>9</v>
      </c>
      <c r="J104" s="49">
        <f>Table1[[#This Row],[Fees in USD]]+Table1[[#This Row],[Added Fees USD]]</f>
        <v>12.676500000000001</v>
      </c>
      <c r="K104" s="40"/>
      <c r="L104" s="37"/>
      <c r="M104" s="37"/>
      <c r="N104" s="37"/>
      <c r="O104" s="37"/>
    </row>
    <row r="105" spans="1:15" s="1" customFormat="1" ht="31.2" x14ac:dyDescent="0.6">
      <c r="A105" s="23" t="s">
        <v>59</v>
      </c>
      <c r="B105" s="23" t="s">
        <v>348</v>
      </c>
      <c r="C105" s="24">
        <v>5</v>
      </c>
      <c r="D105" s="25">
        <f>_xlfn.XLOOKUP(C105, Sheet2!A:A, Sheet2!B:B)</f>
        <v>9</v>
      </c>
      <c r="E105" s="26">
        <f>Table1[[#This Row],[Fees in JOD]]*1.4085</f>
        <v>12.676500000000001</v>
      </c>
      <c r="F105" s="24"/>
      <c r="G105" s="28">
        <f>_xlfn.XLOOKUP(F105, Sheet2!C:C, Sheet2!D:D)</f>
        <v>0</v>
      </c>
      <c r="H105" s="29">
        <f>Table1[[#This Row],[Added Fees JOD]]*1.4085</f>
        <v>0</v>
      </c>
      <c r="I105" s="48">
        <f>Table1[[#This Row],[Fees in JOD]]+Table1[[#This Row],[Added Fees JOD]]</f>
        <v>9</v>
      </c>
      <c r="J105" s="49">
        <f>Table1[[#This Row],[Fees in USD]]+Table1[[#This Row],[Added Fees USD]]</f>
        <v>12.676500000000001</v>
      </c>
      <c r="K105" s="40"/>
      <c r="L105" s="37"/>
      <c r="M105" s="37"/>
      <c r="N105" s="37"/>
      <c r="O105" s="37"/>
    </row>
    <row r="106" spans="1:15" s="1" customFormat="1" ht="31.2" x14ac:dyDescent="0.6">
      <c r="A106" s="23" t="s">
        <v>60</v>
      </c>
      <c r="B106" s="23" t="s">
        <v>349</v>
      </c>
      <c r="C106" s="24">
        <v>5</v>
      </c>
      <c r="D106" s="25">
        <f>_xlfn.XLOOKUP(C106, Sheet2!A:A, Sheet2!B:B)</f>
        <v>9</v>
      </c>
      <c r="E106" s="26">
        <f>Table1[[#This Row],[Fees in JOD]]*1.4085</f>
        <v>12.676500000000001</v>
      </c>
      <c r="F106" s="24"/>
      <c r="G106" s="28">
        <f>_xlfn.XLOOKUP(F106, Sheet2!C:C, Sheet2!D:D)</f>
        <v>0</v>
      </c>
      <c r="H106" s="29">
        <f>Table1[[#This Row],[Added Fees JOD]]*1.4085</f>
        <v>0</v>
      </c>
      <c r="I106" s="48">
        <f>Table1[[#This Row],[Fees in JOD]]+Table1[[#This Row],[Added Fees JOD]]</f>
        <v>9</v>
      </c>
      <c r="J106" s="49">
        <f>Table1[[#This Row],[Fees in USD]]+Table1[[#This Row],[Added Fees USD]]</f>
        <v>12.676500000000001</v>
      </c>
      <c r="K106" s="40"/>
      <c r="L106" s="37"/>
      <c r="M106" s="37"/>
      <c r="N106" s="37"/>
      <c r="O106" s="37"/>
    </row>
    <row r="107" spans="1:15" s="1" customFormat="1" ht="31.2" x14ac:dyDescent="0.6">
      <c r="A107" s="23" t="s">
        <v>63</v>
      </c>
      <c r="B107" s="23" t="s">
        <v>350</v>
      </c>
      <c r="C107" s="24">
        <v>5</v>
      </c>
      <c r="D107" s="25">
        <f>_xlfn.XLOOKUP(C107, Sheet2!A:A, Sheet2!B:B)</f>
        <v>9</v>
      </c>
      <c r="E107" s="26">
        <f>Table1[[#This Row],[Fees in JOD]]*1.4085</f>
        <v>12.676500000000001</v>
      </c>
      <c r="F107" s="24"/>
      <c r="G107" s="28">
        <f>_xlfn.XLOOKUP(F107, Sheet2!C:C, Sheet2!D:D)</f>
        <v>0</v>
      </c>
      <c r="H107" s="29">
        <f>Table1[[#This Row],[Added Fees JOD]]*1.4085</f>
        <v>0</v>
      </c>
      <c r="I107" s="48">
        <f>Table1[[#This Row],[Fees in JOD]]+Table1[[#This Row],[Added Fees JOD]]</f>
        <v>9</v>
      </c>
      <c r="J107" s="49">
        <f>Table1[[#This Row],[Fees in USD]]+Table1[[#This Row],[Added Fees USD]]</f>
        <v>12.676500000000001</v>
      </c>
      <c r="K107" s="40"/>
      <c r="L107" s="37"/>
      <c r="M107" s="37"/>
      <c r="N107" s="37"/>
      <c r="O107" s="37"/>
    </row>
    <row r="108" spans="1:15" s="1" customFormat="1" ht="31.2" x14ac:dyDescent="0.6">
      <c r="A108" s="23" t="s">
        <v>65</v>
      </c>
      <c r="B108" s="23" t="s">
        <v>351</v>
      </c>
      <c r="C108" s="24">
        <v>5</v>
      </c>
      <c r="D108" s="25">
        <f>_xlfn.XLOOKUP(C108, Sheet2!A:A, Sheet2!B:B)</f>
        <v>9</v>
      </c>
      <c r="E108" s="26">
        <f>Table1[[#This Row],[Fees in JOD]]*1.4085</f>
        <v>12.676500000000001</v>
      </c>
      <c r="F108" s="24"/>
      <c r="G108" s="28">
        <f>_xlfn.XLOOKUP(F108, Sheet2!C:C, Sheet2!D:D)</f>
        <v>0</v>
      </c>
      <c r="H108" s="29">
        <f>Table1[[#This Row],[Added Fees JOD]]*1.4085</f>
        <v>0</v>
      </c>
      <c r="I108" s="48">
        <f>Table1[[#This Row],[Fees in JOD]]+Table1[[#This Row],[Added Fees JOD]]</f>
        <v>9</v>
      </c>
      <c r="J108" s="49">
        <f>Table1[[#This Row],[Fees in USD]]+Table1[[#This Row],[Added Fees USD]]</f>
        <v>12.676500000000001</v>
      </c>
      <c r="K108" s="40"/>
      <c r="L108" s="37"/>
      <c r="M108" s="37"/>
      <c r="N108" s="37"/>
      <c r="O108" s="37"/>
    </row>
    <row r="109" spans="1:15" s="1" customFormat="1" ht="31.2" x14ac:dyDescent="0.6">
      <c r="A109" s="23" t="s">
        <v>66</v>
      </c>
      <c r="B109" s="23" t="s">
        <v>352</v>
      </c>
      <c r="C109" s="24">
        <v>5</v>
      </c>
      <c r="D109" s="25">
        <f>_xlfn.XLOOKUP(C109, Sheet2!A:A, Sheet2!B:B)</f>
        <v>9</v>
      </c>
      <c r="E109" s="26">
        <f>Table1[[#This Row],[Fees in JOD]]*1.4085</f>
        <v>12.676500000000001</v>
      </c>
      <c r="F109" s="24"/>
      <c r="G109" s="28">
        <f>_xlfn.XLOOKUP(F109, Sheet2!C:C, Sheet2!D:D)</f>
        <v>0</v>
      </c>
      <c r="H109" s="29">
        <f>Table1[[#This Row],[Added Fees JOD]]*1.4085</f>
        <v>0</v>
      </c>
      <c r="I109" s="48">
        <f>Table1[[#This Row],[Fees in JOD]]+Table1[[#This Row],[Added Fees JOD]]</f>
        <v>9</v>
      </c>
      <c r="J109" s="49">
        <f>Table1[[#This Row],[Fees in USD]]+Table1[[#This Row],[Added Fees USD]]</f>
        <v>12.676500000000001</v>
      </c>
      <c r="K109" s="40"/>
      <c r="L109" s="37"/>
      <c r="M109" s="37"/>
      <c r="N109" s="37"/>
      <c r="O109" s="37"/>
    </row>
    <row r="110" spans="1:15" s="1" customFormat="1" ht="31.2" x14ac:dyDescent="0.6">
      <c r="A110" s="23" t="s">
        <v>70</v>
      </c>
      <c r="B110" s="23" t="s">
        <v>353</v>
      </c>
      <c r="C110" s="24">
        <v>5</v>
      </c>
      <c r="D110" s="25">
        <f>_xlfn.XLOOKUP(C110, Sheet2!A:A, Sheet2!B:B)</f>
        <v>9</v>
      </c>
      <c r="E110" s="26">
        <f>Table1[[#This Row],[Fees in JOD]]*1.4085</f>
        <v>12.676500000000001</v>
      </c>
      <c r="F110" s="24"/>
      <c r="G110" s="28">
        <f>_xlfn.XLOOKUP(F110, Sheet2!C:C, Sheet2!D:D)</f>
        <v>0</v>
      </c>
      <c r="H110" s="29">
        <f>Table1[[#This Row],[Added Fees JOD]]*1.4085</f>
        <v>0</v>
      </c>
      <c r="I110" s="48">
        <f>Table1[[#This Row],[Fees in JOD]]+Table1[[#This Row],[Added Fees JOD]]</f>
        <v>9</v>
      </c>
      <c r="J110" s="49">
        <f>Table1[[#This Row],[Fees in USD]]+Table1[[#This Row],[Added Fees USD]]</f>
        <v>12.676500000000001</v>
      </c>
      <c r="K110" s="40"/>
      <c r="L110" s="37"/>
      <c r="M110" s="37"/>
      <c r="N110" s="37"/>
      <c r="O110" s="37"/>
    </row>
    <row r="111" spans="1:15" s="1" customFormat="1" ht="31.2" x14ac:dyDescent="0.6">
      <c r="A111" s="23" t="s">
        <v>71</v>
      </c>
      <c r="B111" s="23" t="s">
        <v>354</v>
      </c>
      <c r="C111" s="24">
        <v>5</v>
      </c>
      <c r="D111" s="25">
        <f>_xlfn.XLOOKUP(C111, Sheet2!A:A, Sheet2!B:B)</f>
        <v>9</v>
      </c>
      <c r="E111" s="26">
        <f>Table1[[#This Row],[Fees in JOD]]*1.4085</f>
        <v>12.676500000000001</v>
      </c>
      <c r="F111" s="24"/>
      <c r="G111" s="28">
        <f>_xlfn.XLOOKUP(F111, Sheet2!C:C, Sheet2!D:D)</f>
        <v>0</v>
      </c>
      <c r="H111" s="29">
        <f>Table1[[#This Row],[Added Fees JOD]]*1.4085</f>
        <v>0</v>
      </c>
      <c r="I111" s="48">
        <f>Table1[[#This Row],[Fees in JOD]]+Table1[[#This Row],[Added Fees JOD]]</f>
        <v>9</v>
      </c>
      <c r="J111" s="49">
        <f>Table1[[#This Row],[Fees in USD]]+Table1[[#This Row],[Added Fees USD]]</f>
        <v>12.676500000000001</v>
      </c>
      <c r="K111" s="40"/>
      <c r="L111" s="37"/>
      <c r="M111" s="37"/>
      <c r="N111" s="37"/>
      <c r="O111" s="37"/>
    </row>
    <row r="112" spans="1:15" s="1" customFormat="1" ht="31.2" x14ac:dyDescent="0.6">
      <c r="A112" s="23" t="s">
        <v>72</v>
      </c>
      <c r="B112" s="23" t="s">
        <v>355</v>
      </c>
      <c r="C112" s="24">
        <v>5</v>
      </c>
      <c r="D112" s="25">
        <f>_xlfn.XLOOKUP(C112, Sheet2!A:A, Sheet2!B:B)</f>
        <v>9</v>
      </c>
      <c r="E112" s="26">
        <f>Table1[[#This Row],[Fees in JOD]]*1.4085</f>
        <v>12.676500000000001</v>
      </c>
      <c r="F112" s="24"/>
      <c r="G112" s="28">
        <f>_xlfn.XLOOKUP(F112, Sheet2!C:C, Sheet2!D:D)</f>
        <v>0</v>
      </c>
      <c r="H112" s="29">
        <f>Table1[[#This Row],[Added Fees JOD]]*1.4085</f>
        <v>0</v>
      </c>
      <c r="I112" s="48">
        <f>Table1[[#This Row],[Fees in JOD]]+Table1[[#This Row],[Added Fees JOD]]</f>
        <v>9</v>
      </c>
      <c r="J112" s="49">
        <f>Table1[[#This Row],[Fees in USD]]+Table1[[#This Row],[Added Fees USD]]</f>
        <v>12.676500000000001</v>
      </c>
      <c r="K112" s="40"/>
      <c r="L112" s="37"/>
      <c r="M112" s="37"/>
      <c r="N112" s="37"/>
      <c r="O112" s="37"/>
    </row>
    <row r="113" spans="1:15" s="1" customFormat="1" ht="31.2" x14ac:dyDescent="0.6">
      <c r="A113" s="23" t="s">
        <v>74</v>
      </c>
      <c r="B113" s="23" t="s">
        <v>356</v>
      </c>
      <c r="C113" s="24">
        <v>5</v>
      </c>
      <c r="D113" s="25">
        <f>_xlfn.XLOOKUP(C113, Sheet2!A:A, Sheet2!B:B)</f>
        <v>9</v>
      </c>
      <c r="E113" s="26">
        <f>Table1[[#This Row],[Fees in JOD]]*1.4085</f>
        <v>12.676500000000001</v>
      </c>
      <c r="F113" s="24"/>
      <c r="G113" s="28">
        <f>_xlfn.XLOOKUP(F113, Sheet2!C:C, Sheet2!D:D)</f>
        <v>0</v>
      </c>
      <c r="H113" s="29">
        <f>Table1[[#This Row],[Added Fees JOD]]*1.4085</f>
        <v>0</v>
      </c>
      <c r="I113" s="48">
        <f>Table1[[#This Row],[Fees in JOD]]+Table1[[#This Row],[Added Fees JOD]]</f>
        <v>9</v>
      </c>
      <c r="J113" s="49">
        <f>Table1[[#This Row],[Fees in USD]]+Table1[[#This Row],[Added Fees USD]]</f>
        <v>12.676500000000001</v>
      </c>
      <c r="K113" s="40"/>
      <c r="L113" s="37"/>
      <c r="M113" s="37"/>
      <c r="N113" s="37"/>
      <c r="O113" s="37"/>
    </row>
    <row r="114" spans="1:15" s="1" customFormat="1" ht="31.2" x14ac:dyDescent="0.6">
      <c r="A114" s="23" t="s">
        <v>75</v>
      </c>
      <c r="B114" s="23" t="s">
        <v>357</v>
      </c>
      <c r="C114" s="24">
        <v>5</v>
      </c>
      <c r="D114" s="25">
        <f>_xlfn.XLOOKUP(C114, Sheet2!A:A, Sheet2!B:B)</f>
        <v>9</v>
      </c>
      <c r="E114" s="26">
        <f>Table1[[#This Row],[Fees in JOD]]*1.4085</f>
        <v>12.676500000000001</v>
      </c>
      <c r="F114" s="24"/>
      <c r="G114" s="28">
        <f>_xlfn.XLOOKUP(F114, Sheet2!C:C, Sheet2!D:D)</f>
        <v>0</v>
      </c>
      <c r="H114" s="29">
        <f>Table1[[#This Row],[Added Fees JOD]]*1.4085</f>
        <v>0</v>
      </c>
      <c r="I114" s="48">
        <f>Table1[[#This Row],[Fees in JOD]]+Table1[[#This Row],[Added Fees JOD]]</f>
        <v>9</v>
      </c>
      <c r="J114" s="49">
        <f>Table1[[#This Row],[Fees in USD]]+Table1[[#This Row],[Added Fees USD]]</f>
        <v>12.676500000000001</v>
      </c>
      <c r="K114" s="40"/>
      <c r="L114" s="37"/>
      <c r="M114" s="37"/>
      <c r="N114" s="37"/>
      <c r="O114" s="37"/>
    </row>
    <row r="115" spans="1:15" s="1" customFormat="1" ht="31.2" x14ac:dyDescent="0.6">
      <c r="A115" s="23" t="s">
        <v>77</v>
      </c>
      <c r="B115" s="23" t="s">
        <v>358</v>
      </c>
      <c r="C115" s="24">
        <v>5</v>
      </c>
      <c r="D115" s="25">
        <f>_xlfn.XLOOKUP(C115, Sheet2!A:A, Sheet2!B:B)</f>
        <v>9</v>
      </c>
      <c r="E115" s="26">
        <f>Table1[[#This Row],[Fees in JOD]]*1.4085</f>
        <v>12.676500000000001</v>
      </c>
      <c r="F115" s="24"/>
      <c r="G115" s="28">
        <f>_xlfn.XLOOKUP(F115, Sheet2!C:C, Sheet2!D:D)</f>
        <v>0</v>
      </c>
      <c r="H115" s="29">
        <f>Table1[[#This Row],[Added Fees JOD]]*1.4085</f>
        <v>0</v>
      </c>
      <c r="I115" s="48">
        <f>Table1[[#This Row],[Fees in JOD]]+Table1[[#This Row],[Added Fees JOD]]</f>
        <v>9</v>
      </c>
      <c r="J115" s="49">
        <f>Table1[[#This Row],[Fees in USD]]+Table1[[#This Row],[Added Fees USD]]</f>
        <v>12.676500000000001</v>
      </c>
      <c r="K115" s="40"/>
      <c r="L115" s="37"/>
      <c r="M115" s="37"/>
      <c r="N115" s="37"/>
      <c r="O115" s="37"/>
    </row>
    <row r="116" spans="1:15" s="1" customFormat="1" ht="31.2" x14ac:dyDescent="0.6">
      <c r="A116" s="23" t="s">
        <v>78</v>
      </c>
      <c r="B116" s="23" t="s">
        <v>359</v>
      </c>
      <c r="C116" s="24">
        <v>5</v>
      </c>
      <c r="D116" s="25">
        <f>_xlfn.XLOOKUP(C116, Sheet2!A:A, Sheet2!B:B)</f>
        <v>9</v>
      </c>
      <c r="E116" s="26">
        <f>Table1[[#This Row],[Fees in JOD]]*1.4085</f>
        <v>12.676500000000001</v>
      </c>
      <c r="F116" s="24"/>
      <c r="G116" s="28">
        <f>_xlfn.XLOOKUP(F116, Sheet2!C:C, Sheet2!D:D)</f>
        <v>0</v>
      </c>
      <c r="H116" s="29">
        <f>Table1[[#This Row],[Added Fees JOD]]*1.4085</f>
        <v>0</v>
      </c>
      <c r="I116" s="48">
        <f>Table1[[#This Row],[Fees in JOD]]+Table1[[#This Row],[Added Fees JOD]]</f>
        <v>9</v>
      </c>
      <c r="J116" s="49">
        <f>Table1[[#This Row],[Fees in USD]]+Table1[[#This Row],[Added Fees USD]]</f>
        <v>12.676500000000001</v>
      </c>
      <c r="K116" s="40"/>
      <c r="L116" s="37"/>
      <c r="M116" s="37"/>
      <c r="N116" s="37"/>
      <c r="O116" s="37"/>
    </row>
    <row r="117" spans="1:15" s="1" customFormat="1" ht="31.2" x14ac:dyDescent="0.6">
      <c r="A117" s="23" t="s">
        <v>80</v>
      </c>
      <c r="B117" s="23" t="s">
        <v>360</v>
      </c>
      <c r="C117" s="24">
        <v>5</v>
      </c>
      <c r="D117" s="25">
        <f>_xlfn.XLOOKUP(C117, Sheet2!A:A, Sheet2!B:B)</f>
        <v>9</v>
      </c>
      <c r="E117" s="26">
        <f>Table1[[#This Row],[Fees in JOD]]*1.4085</f>
        <v>12.676500000000001</v>
      </c>
      <c r="F117" s="24"/>
      <c r="G117" s="28">
        <f>_xlfn.XLOOKUP(F117, Sheet2!C:C, Sheet2!D:D)</f>
        <v>0</v>
      </c>
      <c r="H117" s="29">
        <f>Table1[[#This Row],[Added Fees JOD]]*1.4085</f>
        <v>0</v>
      </c>
      <c r="I117" s="48">
        <f>Table1[[#This Row],[Fees in JOD]]+Table1[[#This Row],[Added Fees JOD]]</f>
        <v>9</v>
      </c>
      <c r="J117" s="49">
        <f>Table1[[#This Row],[Fees in USD]]+Table1[[#This Row],[Added Fees USD]]</f>
        <v>12.676500000000001</v>
      </c>
      <c r="K117" s="40"/>
      <c r="L117" s="37"/>
      <c r="M117" s="37"/>
      <c r="N117" s="37"/>
      <c r="O117" s="37"/>
    </row>
    <row r="118" spans="1:15" s="1" customFormat="1" ht="31.2" x14ac:dyDescent="0.6">
      <c r="A118" s="23" t="s">
        <v>81</v>
      </c>
      <c r="B118" s="23" t="s">
        <v>361</v>
      </c>
      <c r="C118" s="24">
        <v>5</v>
      </c>
      <c r="D118" s="25">
        <f>_xlfn.XLOOKUP(C118, Sheet2!A:A, Sheet2!B:B)</f>
        <v>9</v>
      </c>
      <c r="E118" s="26">
        <f>Table1[[#This Row],[Fees in JOD]]*1.4085</f>
        <v>12.676500000000001</v>
      </c>
      <c r="F118" s="24"/>
      <c r="G118" s="28">
        <f>_xlfn.XLOOKUP(F118, Sheet2!C:C, Sheet2!D:D)</f>
        <v>0</v>
      </c>
      <c r="H118" s="29">
        <f>Table1[[#This Row],[Added Fees JOD]]*1.4085</f>
        <v>0</v>
      </c>
      <c r="I118" s="48">
        <f>Table1[[#This Row],[Fees in JOD]]+Table1[[#This Row],[Added Fees JOD]]</f>
        <v>9</v>
      </c>
      <c r="J118" s="49">
        <f>Table1[[#This Row],[Fees in USD]]+Table1[[#This Row],[Added Fees USD]]</f>
        <v>12.676500000000001</v>
      </c>
      <c r="K118" s="40"/>
      <c r="L118" s="37"/>
      <c r="M118" s="37"/>
      <c r="N118" s="37"/>
      <c r="O118" s="37"/>
    </row>
    <row r="119" spans="1:15" s="1" customFormat="1" ht="31.2" x14ac:dyDescent="0.6">
      <c r="A119" s="23" t="s">
        <v>82</v>
      </c>
      <c r="B119" s="23" t="s">
        <v>362</v>
      </c>
      <c r="C119" s="24">
        <v>5</v>
      </c>
      <c r="D119" s="25">
        <f>_xlfn.XLOOKUP(C119, Sheet2!A:A, Sheet2!B:B)</f>
        <v>9</v>
      </c>
      <c r="E119" s="26">
        <f>Table1[[#This Row],[Fees in JOD]]*1.4085</f>
        <v>12.676500000000001</v>
      </c>
      <c r="F119" s="24"/>
      <c r="G119" s="28">
        <f>_xlfn.XLOOKUP(F119, Sheet2!C:C, Sheet2!D:D)</f>
        <v>0</v>
      </c>
      <c r="H119" s="29">
        <f>Table1[[#This Row],[Added Fees JOD]]*1.4085</f>
        <v>0</v>
      </c>
      <c r="I119" s="48">
        <f>Table1[[#This Row],[Fees in JOD]]+Table1[[#This Row],[Added Fees JOD]]</f>
        <v>9</v>
      </c>
      <c r="J119" s="49">
        <f>Table1[[#This Row],[Fees in USD]]+Table1[[#This Row],[Added Fees USD]]</f>
        <v>12.676500000000001</v>
      </c>
      <c r="K119" s="40"/>
      <c r="L119" s="37"/>
      <c r="M119" s="37"/>
      <c r="N119" s="37"/>
      <c r="O119" s="37"/>
    </row>
    <row r="120" spans="1:15" s="1" customFormat="1" ht="31.2" x14ac:dyDescent="0.6">
      <c r="A120" s="23" t="s">
        <v>83</v>
      </c>
      <c r="B120" s="23" t="s">
        <v>363</v>
      </c>
      <c r="C120" s="24">
        <v>5</v>
      </c>
      <c r="D120" s="25">
        <f>_xlfn.XLOOKUP(C120, Sheet2!A:A, Sheet2!B:B)</f>
        <v>9</v>
      </c>
      <c r="E120" s="26">
        <f>Table1[[#This Row],[Fees in JOD]]*1.4085</f>
        <v>12.676500000000001</v>
      </c>
      <c r="F120" s="24"/>
      <c r="G120" s="28">
        <f>_xlfn.XLOOKUP(F120, Sheet2!C:C, Sheet2!D:D)</f>
        <v>0</v>
      </c>
      <c r="H120" s="29">
        <f>Table1[[#This Row],[Added Fees JOD]]*1.4085</f>
        <v>0</v>
      </c>
      <c r="I120" s="48">
        <f>Table1[[#This Row],[Fees in JOD]]+Table1[[#This Row],[Added Fees JOD]]</f>
        <v>9</v>
      </c>
      <c r="J120" s="49">
        <f>Table1[[#This Row],[Fees in USD]]+Table1[[#This Row],[Added Fees USD]]</f>
        <v>12.676500000000001</v>
      </c>
      <c r="K120" s="40"/>
      <c r="L120" s="37"/>
      <c r="M120" s="37"/>
      <c r="N120" s="37"/>
      <c r="O120" s="37"/>
    </row>
    <row r="121" spans="1:15" s="1" customFormat="1" ht="31.2" x14ac:dyDescent="0.6">
      <c r="A121" s="23" t="s">
        <v>84</v>
      </c>
      <c r="B121" s="23" t="s">
        <v>364</v>
      </c>
      <c r="C121" s="24">
        <v>5</v>
      </c>
      <c r="D121" s="25">
        <f>_xlfn.XLOOKUP(C121, Sheet2!A:A, Sheet2!B:B)</f>
        <v>9</v>
      </c>
      <c r="E121" s="26">
        <f>Table1[[#This Row],[Fees in JOD]]*1.4085</f>
        <v>12.676500000000001</v>
      </c>
      <c r="F121" s="24"/>
      <c r="G121" s="28">
        <f>_xlfn.XLOOKUP(F121, Sheet2!C:C, Sheet2!D:D)</f>
        <v>0</v>
      </c>
      <c r="H121" s="29">
        <f>Table1[[#This Row],[Added Fees JOD]]*1.4085</f>
        <v>0</v>
      </c>
      <c r="I121" s="48">
        <f>Table1[[#This Row],[Fees in JOD]]+Table1[[#This Row],[Added Fees JOD]]</f>
        <v>9</v>
      </c>
      <c r="J121" s="49">
        <f>Table1[[#This Row],[Fees in USD]]+Table1[[#This Row],[Added Fees USD]]</f>
        <v>12.676500000000001</v>
      </c>
      <c r="K121" s="40"/>
      <c r="L121" s="37"/>
      <c r="M121" s="37"/>
      <c r="N121" s="37"/>
      <c r="O121" s="37"/>
    </row>
    <row r="122" spans="1:15" s="1" customFormat="1" ht="31.2" x14ac:dyDescent="0.6">
      <c r="A122" s="23" t="s">
        <v>85</v>
      </c>
      <c r="B122" s="23" t="s">
        <v>365</v>
      </c>
      <c r="C122" s="24">
        <v>5</v>
      </c>
      <c r="D122" s="25">
        <f>_xlfn.XLOOKUP(C122, Sheet2!A:A, Sheet2!B:B)</f>
        <v>9</v>
      </c>
      <c r="E122" s="26">
        <f>Table1[[#This Row],[Fees in JOD]]*1.4085</f>
        <v>12.676500000000001</v>
      </c>
      <c r="F122" s="24"/>
      <c r="G122" s="28">
        <f>_xlfn.XLOOKUP(F122, Sheet2!C:C, Sheet2!D:D)</f>
        <v>0</v>
      </c>
      <c r="H122" s="29">
        <f>Table1[[#This Row],[Added Fees JOD]]*1.4085</f>
        <v>0</v>
      </c>
      <c r="I122" s="48">
        <f>Table1[[#This Row],[Fees in JOD]]+Table1[[#This Row],[Added Fees JOD]]</f>
        <v>9</v>
      </c>
      <c r="J122" s="49">
        <f>Table1[[#This Row],[Fees in USD]]+Table1[[#This Row],[Added Fees USD]]</f>
        <v>12.676500000000001</v>
      </c>
      <c r="K122" s="40"/>
      <c r="L122" s="37"/>
      <c r="M122" s="37"/>
      <c r="N122" s="37"/>
      <c r="O122" s="37"/>
    </row>
    <row r="123" spans="1:15" s="1" customFormat="1" ht="31.2" x14ac:dyDescent="0.6">
      <c r="A123" s="23" t="s">
        <v>86</v>
      </c>
      <c r="B123" s="23" t="s">
        <v>366</v>
      </c>
      <c r="C123" s="24">
        <v>5</v>
      </c>
      <c r="D123" s="25">
        <f>_xlfn.XLOOKUP(C123, Sheet2!A:A, Sheet2!B:B)</f>
        <v>9</v>
      </c>
      <c r="E123" s="26">
        <f>Table1[[#This Row],[Fees in JOD]]*1.4085</f>
        <v>12.676500000000001</v>
      </c>
      <c r="F123" s="24"/>
      <c r="G123" s="28">
        <f>_xlfn.XLOOKUP(F123, Sheet2!C:C, Sheet2!D:D)</f>
        <v>0</v>
      </c>
      <c r="H123" s="29">
        <f>Table1[[#This Row],[Added Fees JOD]]*1.4085</f>
        <v>0</v>
      </c>
      <c r="I123" s="48">
        <f>Table1[[#This Row],[Fees in JOD]]+Table1[[#This Row],[Added Fees JOD]]</f>
        <v>9</v>
      </c>
      <c r="J123" s="49">
        <f>Table1[[#This Row],[Fees in USD]]+Table1[[#This Row],[Added Fees USD]]</f>
        <v>12.676500000000001</v>
      </c>
      <c r="K123" s="40"/>
      <c r="L123" s="37"/>
      <c r="M123" s="37"/>
      <c r="N123" s="37"/>
      <c r="O123" s="37"/>
    </row>
    <row r="124" spans="1:15" s="1" customFormat="1" ht="31.2" x14ac:dyDescent="0.6">
      <c r="A124" s="23" t="s">
        <v>87</v>
      </c>
      <c r="B124" s="23" t="s">
        <v>367</v>
      </c>
      <c r="C124" s="24">
        <v>5</v>
      </c>
      <c r="D124" s="25">
        <f>_xlfn.XLOOKUP(C124, Sheet2!A:A, Sheet2!B:B)</f>
        <v>9</v>
      </c>
      <c r="E124" s="26">
        <f>Table1[[#This Row],[Fees in JOD]]*1.4085</f>
        <v>12.676500000000001</v>
      </c>
      <c r="F124" s="24"/>
      <c r="G124" s="28">
        <f>_xlfn.XLOOKUP(F124, Sheet2!C:C, Sheet2!D:D)</f>
        <v>0</v>
      </c>
      <c r="H124" s="29">
        <f>Table1[[#This Row],[Added Fees JOD]]*1.4085</f>
        <v>0</v>
      </c>
      <c r="I124" s="48">
        <f>Table1[[#This Row],[Fees in JOD]]+Table1[[#This Row],[Added Fees JOD]]</f>
        <v>9</v>
      </c>
      <c r="J124" s="49">
        <f>Table1[[#This Row],[Fees in USD]]+Table1[[#This Row],[Added Fees USD]]</f>
        <v>12.676500000000001</v>
      </c>
      <c r="K124" s="40"/>
      <c r="L124" s="37"/>
      <c r="M124" s="37"/>
      <c r="N124" s="37"/>
      <c r="O124" s="37"/>
    </row>
    <row r="125" spans="1:15" s="1" customFormat="1" ht="31.2" x14ac:dyDescent="0.6">
      <c r="A125" s="23" t="s">
        <v>88</v>
      </c>
      <c r="B125" s="23" t="s">
        <v>368</v>
      </c>
      <c r="C125" s="24">
        <v>5</v>
      </c>
      <c r="D125" s="25">
        <f>_xlfn.XLOOKUP(C125, Sheet2!A:A, Sheet2!B:B)</f>
        <v>9</v>
      </c>
      <c r="E125" s="26">
        <f>Table1[[#This Row],[Fees in JOD]]*1.4085</f>
        <v>12.676500000000001</v>
      </c>
      <c r="F125" s="24"/>
      <c r="G125" s="28">
        <f>_xlfn.XLOOKUP(F125, Sheet2!C:C, Sheet2!D:D)</f>
        <v>0</v>
      </c>
      <c r="H125" s="29">
        <f>Table1[[#This Row],[Added Fees JOD]]*1.4085</f>
        <v>0</v>
      </c>
      <c r="I125" s="48">
        <f>Table1[[#This Row],[Fees in JOD]]+Table1[[#This Row],[Added Fees JOD]]</f>
        <v>9</v>
      </c>
      <c r="J125" s="49">
        <f>Table1[[#This Row],[Fees in USD]]+Table1[[#This Row],[Added Fees USD]]</f>
        <v>12.676500000000001</v>
      </c>
      <c r="K125" s="40"/>
      <c r="L125" s="37"/>
      <c r="M125" s="37"/>
      <c r="N125" s="37"/>
      <c r="O125" s="37"/>
    </row>
    <row r="126" spans="1:15" s="1" customFormat="1" ht="31.2" x14ac:dyDescent="0.6">
      <c r="A126" s="23" t="s">
        <v>89</v>
      </c>
      <c r="B126" s="23" t="s">
        <v>369</v>
      </c>
      <c r="C126" s="24">
        <v>5</v>
      </c>
      <c r="D126" s="25">
        <f>_xlfn.XLOOKUP(C126, Sheet2!A:A, Sheet2!B:B)</f>
        <v>9</v>
      </c>
      <c r="E126" s="26">
        <f>Table1[[#This Row],[Fees in JOD]]*1.4085</f>
        <v>12.676500000000001</v>
      </c>
      <c r="F126" s="24"/>
      <c r="G126" s="28">
        <f>_xlfn.XLOOKUP(F126, Sheet2!C:C, Sheet2!D:D)</f>
        <v>0</v>
      </c>
      <c r="H126" s="29">
        <f>Table1[[#This Row],[Added Fees JOD]]*1.4085</f>
        <v>0</v>
      </c>
      <c r="I126" s="48">
        <f>Table1[[#This Row],[Fees in JOD]]+Table1[[#This Row],[Added Fees JOD]]</f>
        <v>9</v>
      </c>
      <c r="J126" s="49">
        <f>Table1[[#This Row],[Fees in USD]]+Table1[[#This Row],[Added Fees USD]]</f>
        <v>12.676500000000001</v>
      </c>
      <c r="K126" s="40"/>
      <c r="L126" s="37"/>
      <c r="M126" s="37"/>
      <c r="N126" s="37"/>
      <c r="O126" s="37"/>
    </row>
    <row r="127" spans="1:15" s="1" customFormat="1" ht="31.2" x14ac:dyDescent="0.6">
      <c r="A127" s="23" t="s">
        <v>90</v>
      </c>
      <c r="B127" s="23" t="s">
        <v>370</v>
      </c>
      <c r="C127" s="24">
        <v>5</v>
      </c>
      <c r="D127" s="25">
        <f>_xlfn.XLOOKUP(C127, Sheet2!A:A, Sheet2!B:B)</f>
        <v>9</v>
      </c>
      <c r="E127" s="26">
        <f>Table1[[#This Row],[Fees in JOD]]*1.4085</f>
        <v>12.676500000000001</v>
      </c>
      <c r="F127" s="24"/>
      <c r="G127" s="28">
        <f>_xlfn.XLOOKUP(F127, Sheet2!C:C, Sheet2!D:D)</f>
        <v>0</v>
      </c>
      <c r="H127" s="29">
        <f>Table1[[#This Row],[Added Fees JOD]]*1.4085</f>
        <v>0</v>
      </c>
      <c r="I127" s="48">
        <f>Table1[[#This Row],[Fees in JOD]]+Table1[[#This Row],[Added Fees JOD]]</f>
        <v>9</v>
      </c>
      <c r="J127" s="49">
        <f>Table1[[#This Row],[Fees in USD]]+Table1[[#This Row],[Added Fees USD]]</f>
        <v>12.676500000000001</v>
      </c>
      <c r="K127" s="40"/>
      <c r="L127" s="37"/>
      <c r="M127" s="37"/>
      <c r="N127" s="37"/>
      <c r="O127" s="37"/>
    </row>
    <row r="128" spans="1:15" s="1" customFormat="1" ht="31.2" x14ac:dyDescent="0.6">
      <c r="A128" s="23" t="s">
        <v>91</v>
      </c>
      <c r="B128" s="23" t="s">
        <v>371</v>
      </c>
      <c r="C128" s="24">
        <v>5</v>
      </c>
      <c r="D128" s="25">
        <f>_xlfn.XLOOKUP(C128, Sheet2!A:A, Sheet2!B:B)</f>
        <v>9</v>
      </c>
      <c r="E128" s="26">
        <f>Table1[[#This Row],[Fees in JOD]]*1.4085</f>
        <v>12.676500000000001</v>
      </c>
      <c r="F128" s="24"/>
      <c r="G128" s="28">
        <f>_xlfn.XLOOKUP(F128, Sheet2!C:C, Sheet2!D:D)</f>
        <v>0</v>
      </c>
      <c r="H128" s="29">
        <f>Table1[[#This Row],[Added Fees JOD]]*1.4085</f>
        <v>0</v>
      </c>
      <c r="I128" s="48">
        <f>Table1[[#This Row],[Fees in JOD]]+Table1[[#This Row],[Added Fees JOD]]</f>
        <v>9</v>
      </c>
      <c r="J128" s="49">
        <f>Table1[[#This Row],[Fees in USD]]+Table1[[#This Row],[Added Fees USD]]</f>
        <v>12.676500000000001</v>
      </c>
      <c r="K128" s="40"/>
      <c r="L128" s="37"/>
      <c r="M128" s="37"/>
      <c r="N128" s="37"/>
      <c r="O128" s="37"/>
    </row>
    <row r="129" spans="1:15" s="1" customFormat="1" ht="31.2" x14ac:dyDescent="0.6">
      <c r="A129" s="23" t="s">
        <v>92</v>
      </c>
      <c r="B129" s="23" t="s">
        <v>372</v>
      </c>
      <c r="C129" s="24">
        <v>5</v>
      </c>
      <c r="D129" s="25">
        <f>_xlfn.XLOOKUP(C129, Sheet2!A:A, Sheet2!B:B)</f>
        <v>9</v>
      </c>
      <c r="E129" s="26">
        <f>Table1[[#This Row],[Fees in JOD]]*1.4085</f>
        <v>12.676500000000001</v>
      </c>
      <c r="F129" s="24"/>
      <c r="G129" s="28">
        <f>_xlfn.XLOOKUP(F129, Sheet2!C:C, Sheet2!D:D)</f>
        <v>0</v>
      </c>
      <c r="H129" s="29">
        <f>Table1[[#This Row],[Added Fees JOD]]*1.4085</f>
        <v>0</v>
      </c>
      <c r="I129" s="48">
        <f>Table1[[#This Row],[Fees in JOD]]+Table1[[#This Row],[Added Fees JOD]]</f>
        <v>9</v>
      </c>
      <c r="J129" s="49">
        <f>Table1[[#This Row],[Fees in USD]]+Table1[[#This Row],[Added Fees USD]]</f>
        <v>12.676500000000001</v>
      </c>
      <c r="K129" s="40"/>
      <c r="L129" s="37"/>
      <c r="M129" s="37"/>
      <c r="N129" s="37"/>
      <c r="O129" s="37"/>
    </row>
    <row r="130" spans="1:15" s="1" customFormat="1" ht="31.2" x14ac:dyDescent="0.6">
      <c r="A130" s="23" t="s">
        <v>93</v>
      </c>
      <c r="B130" s="23" t="s">
        <v>373</v>
      </c>
      <c r="C130" s="24">
        <v>5</v>
      </c>
      <c r="D130" s="25">
        <f>_xlfn.XLOOKUP(C130, Sheet2!A:A, Sheet2!B:B)</f>
        <v>9</v>
      </c>
      <c r="E130" s="26">
        <f>Table1[[#This Row],[Fees in JOD]]*1.4085</f>
        <v>12.676500000000001</v>
      </c>
      <c r="F130" s="24"/>
      <c r="G130" s="28">
        <f>_xlfn.XLOOKUP(F130, Sheet2!C:C, Sheet2!D:D)</f>
        <v>0</v>
      </c>
      <c r="H130" s="29">
        <f>Table1[[#This Row],[Added Fees JOD]]*1.4085</f>
        <v>0</v>
      </c>
      <c r="I130" s="48">
        <f>Table1[[#This Row],[Fees in JOD]]+Table1[[#This Row],[Added Fees JOD]]</f>
        <v>9</v>
      </c>
      <c r="J130" s="49">
        <f>Table1[[#This Row],[Fees in USD]]+Table1[[#This Row],[Added Fees USD]]</f>
        <v>12.676500000000001</v>
      </c>
      <c r="K130" s="40"/>
      <c r="L130" s="37"/>
      <c r="M130" s="37"/>
      <c r="N130" s="37"/>
      <c r="O130" s="37"/>
    </row>
    <row r="131" spans="1:15" s="1" customFormat="1" ht="31.2" x14ac:dyDescent="0.6">
      <c r="A131" s="23" t="s">
        <v>94</v>
      </c>
      <c r="B131" s="23" t="s">
        <v>374</v>
      </c>
      <c r="C131" s="24">
        <v>5</v>
      </c>
      <c r="D131" s="25">
        <f>_xlfn.XLOOKUP(C131, Sheet2!A:A, Sheet2!B:B)</f>
        <v>9</v>
      </c>
      <c r="E131" s="26">
        <f>Table1[[#This Row],[Fees in JOD]]*1.4085</f>
        <v>12.676500000000001</v>
      </c>
      <c r="F131" s="24"/>
      <c r="G131" s="28">
        <f>_xlfn.XLOOKUP(F131, Sheet2!C:C, Sheet2!D:D)</f>
        <v>0</v>
      </c>
      <c r="H131" s="29">
        <f>Table1[[#This Row],[Added Fees JOD]]*1.4085</f>
        <v>0</v>
      </c>
      <c r="I131" s="48">
        <f>Table1[[#This Row],[Fees in JOD]]+Table1[[#This Row],[Added Fees JOD]]</f>
        <v>9</v>
      </c>
      <c r="J131" s="49">
        <f>Table1[[#This Row],[Fees in USD]]+Table1[[#This Row],[Added Fees USD]]</f>
        <v>12.676500000000001</v>
      </c>
      <c r="K131" s="40"/>
      <c r="L131" s="37"/>
      <c r="M131" s="37"/>
      <c r="N131" s="37"/>
      <c r="O131" s="37"/>
    </row>
    <row r="132" spans="1:15" s="1" customFormat="1" ht="31.2" x14ac:dyDescent="0.6">
      <c r="A132" s="23" t="s">
        <v>97</v>
      </c>
      <c r="B132" s="23" t="s">
        <v>375</v>
      </c>
      <c r="C132" s="24">
        <v>5</v>
      </c>
      <c r="D132" s="25">
        <f>_xlfn.XLOOKUP(C132, Sheet2!A:A, Sheet2!B:B)</f>
        <v>9</v>
      </c>
      <c r="E132" s="26">
        <f>Table1[[#This Row],[Fees in JOD]]*1.4085</f>
        <v>12.676500000000001</v>
      </c>
      <c r="F132" s="24"/>
      <c r="G132" s="28">
        <f>_xlfn.XLOOKUP(F132, Sheet2!C:C, Sheet2!D:D)</f>
        <v>0</v>
      </c>
      <c r="H132" s="29">
        <f>Table1[[#This Row],[Added Fees JOD]]*1.4085</f>
        <v>0</v>
      </c>
      <c r="I132" s="48">
        <f>Table1[[#This Row],[Fees in JOD]]+Table1[[#This Row],[Added Fees JOD]]</f>
        <v>9</v>
      </c>
      <c r="J132" s="49">
        <f>Table1[[#This Row],[Fees in USD]]+Table1[[#This Row],[Added Fees USD]]</f>
        <v>12.676500000000001</v>
      </c>
      <c r="K132" s="40"/>
      <c r="L132" s="37"/>
      <c r="M132" s="37"/>
      <c r="N132" s="37"/>
      <c r="O132" s="37"/>
    </row>
    <row r="133" spans="1:15" s="1" customFormat="1" ht="36" x14ac:dyDescent="0.6">
      <c r="A133" s="23" t="s">
        <v>99</v>
      </c>
      <c r="B133" s="23" t="s">
        <v>376</v>
      </c>
      <c r="C133" s="24">
        <v>5</v>
      </c>
      <c r="D133" s="25">
        <f>_xlfn.XLOOKUP(C133, Sheet2!A:A, Sheet2!B:B)</f>
        <v>9</v>
      </c>
      <c r="E133" s="26">
        <f>Table1[[#This Row],[Fees in JOD]]*1.4085</f>
        <v>12.676500000000001</v>
      </c>
      <c r="F133" s="24"/>
      <c r="G133" s="28">
        <f>_xlfn.XLOOKUP(F133, Sheet2!C:C, Sheet2!D:D)</f>
        <v>0</v>
      </c>
      <c r="H133" s="29">
        <f>Table1[[#This Row],[Added Fees JOD]]*1.4085</f>
        <v>0</v>
      </c>
      <c r="I133" s="48">
        <f>Table1[[#This Row],[Fees in JOD]]+Table1[[#This Row],[Added Fees JOD]]</f>
        <v>9</v>
      </c>
      <c r="J133" s="49">
        <f>Table1[[#This Row],[Fees in USD]]+Table1[[#This Row],[Added Fees USD]]</f>
        <v>12.676500000000001</v>
      </c>
      <c r="K133" s="40"/>
      <c r="L133" s="37"/>
      <c r="M133" s="37"/>
      <c r="N133" s="37"/>
      <c r="O133" s="37"/>
    </row>
    <row r="134" spans="1:15" s="1" customFormat="1" ht="31.2" x14ac:dyDescent="0.6">
      <c r="A134" s="23" t="s">
        <v>100</v>
      </c>
      <c r="B134" s="23" t="s">
        <v>377</v>
      </c>
      <c r="C134" s="24">
        <v>5</v>
      </c>
      <c r="D134" s="25">
        <f>_xlfn.XLOOKUP(C134, Sheet2!A:A, Sheet2!B:B)</f>
        <v>9</v>
      </c>
      <c r="E134" s="26">
        <f>Table1[[#This Row],[Fees in JOD]]*1.4085</f>
        <v>12.676500000000001</v>
      </c>
      <c r="F134" s="24"/>
      <c r="G134" s="28">
        <f>_xlfn.XLOOKUP(F134, Sheet2!C:C, Sheet2!D:D)</f>
        <v>0</v>
      </c>
      <c r="H134" s="29">
        <f>Table1[[#This Row],[Added Fees JOD]]*1.4085</f>
        <v>0</v>
      </c>
      <c r="I134" s="48">
        <f>Table1[[#This Row],[Fees in JOD]]+Table1[[#This Row],[Added Fees JOD]]</f>
        <v>9</v>
      </c>
      <c r="J134" s="49">
        <f>Table1[[#This Row],[Fees in USD]]+Table1[[#This Row],[Added Fees USD]]</f>
        <v>12.676500000000001</v>
      </c>
      <c r="K134" s="40"/>
      <c r="L134" s="37"/>
      <c r="M134" s="37"/>
      <c r="N134" s="37"/>
      <c r="O134" s="37"/>
    </row>
    <row r="135" spans="1:15" s="1" customFormat="1" ht="31.2" x14ac:dyDescent="0.6">
      <c r="A135" s="23" t="s">
        <v>101</v>
      </c>
      <c r="B135" s="23" t="s">
        <v>378</v>
      </c>
      <c r="C135" s="24">
        <v>5</v>
      </c>
      <c r="D135" s="25">
        <f>_xlfn.XLOOKUP(C135, Sheet2!A:A, Sheet2!B:B)</f>
        <v>9</v>
      </c>
      <c r="E135" s="26">
        <f>Table1[[#This Row],[Fees in JOD]]*1.4085</f>
        <v>12.676500000000001</v>
      </c>
      <c r="F135" s="24"/>
      <c r="G135" s="28">
        <f>_xlfn.XLOOKUP(F135, Sheet2!C:C, Sheet2!D:D)</f>
        <v>0</v>
      </c>
      <c r="H135" s="29">
        <f>Table1[[#This Row],[Added Fees JOD]]*1.4085</f>
        <v>0</v>
      </c>
      <c r="I135" s="48">
        <f>Table1[[#This Row],[Fees in JOD]]+Table1[[#This Row],[Added Fees JOD]]</f>
        <v>9</v>
      </c>
      <c r="J135" s="49">
        <f>Table1[[#This Row],[Fees in USD]]+Table1[[#This Row],[Added Fees USD]]</f>
        <v>12.676500000000001</v>
      </c>
      <c r="K135" s="40"/>
      <c r="L135" s="37"/>
      <c r="M135" s="37"/>
      <c r="N135" s="37"/>
      <c r="O135" s="37"/>
    </row>
    <row r="136" spans="1:15" s="1" customFormat="1" ht="31.2" x14ac:dyDescent="0.6">
      <c r="A136" s="23" t="s">
        <v>102</v>
      </c>
      <c r="B136" s="23" t="s">
        <v>379</v>
      </c>
      <c r="C136" s="24">
        <v>5</v>
      </c>
      <c r="D136" s="25">
        <f>_xlfn.XLOOKUP(C136, Sheet2!A:A, Sheet2!B:B)</f>
        <v>9</v>
      </c>
      <c r="E136" s="26">
        <f>Table1[[#This Row],[Fees in JOD]]*1.4085</f>
        <v>12.676500000000001</v>
      </c>
      <c r="F136" s="24"/>
      <c r="G136" s="28">
        <f>_xlfn.XLOOKUP(F136, Sheet2!C:C, Sheet2!D:D)</f>
        <v>0</v>
      </c>
      <c r="H136" s="29">
        <f>Table1[[#This Row],[Added Fees JOD]]*1.4085</f>
        <v>0</v>
      </c>
      <c r="I136" s="48">
        <f>Table1[[#This Row],[Fees in JOD]]+Table1[[#This Row],[Added Fees JOD]]</f>
        <v>9</v>
      </c>
      <c r="J136" s="49">
        <f>Table1[[#This Row],[Fees in USD]]+Table1[[#This Row],[Added Fees USD]]</f>
        <v>12.676500000000001</v>
      </c>
      <c r="K136" s="40"/>
      <c r="L136" s="37"/>
      <c r="M136" s="37"/>
      <c r="N136" s="37"/>
      <c r="O136" s="37"/>
    </row>
    <row r="137" spans="1:15" s="1" customFormat="1" ht="31.2" x14ac:dyDescent="0.6">
      <c r="A137" s="23" t="s">
        <v>103</v>
      </c>
      <c r="B137" s="23" t="s">
        <v>380</v>
      </c>
      <c r="C137" s="24">
        <v>5</v>
      </c>
      <c r="D137" s="25">
        <f>_xlfn.XLOOKUP(C137, Sheet2!A:A, Sheet2!B:B)</f>
        <v>9</v>
      </c>
      <c r="E137" s="26">
        <f>Table1[[#This Row],[Fees in JOD]]*1.4085</f>
        <v>12.676500000000001</v>
      </c>
      <c r="F137" s="24"/>
      <c r="G137" s="28">
        <f>_xlfn.XLOOKUP(F137, Sheet2!C:C, Sheet2!D:D)</f>
        <v>0</v>
      </c>
      <c r="H137" s="29">
        <f>Table1[[#This Row],[Added Fees JOD]]*1.4085</f>
        <v>0</v>
      </c>
      <c r="I137" s="48">
        <f>Table1[[#This Row],[Fees in JOD]]+Table1[[#This Row],[Added Fees JOD]]</f>
        <v>9</v>
      </c>
      <c r="J137" s="49">
        <f>Table1[[#This Row],[Fees in USD]]+Table1[[#This Row],[Added Fees USD]]</f>
        <v>12.676500000000001</v>
      </c>
      <c r="K137" s="40"/>
      <c r="L137" s="37"/>
      <c r="M137" s="37"/>
      <c r="N137" s="37"/>
      <c r="O137" s="37"/>
    </row>
    <row r="138" spans="1:15" s="1" customFormat="1" ht="31.2" x14ac:dyDescent="0.6">
      <c r="A138" s="23" t="s">
        <v>104</v>
      </c>
      <c r="B138" s="23" t="s">
        <v>381</v>
      </c>
      <c r="C138" s="24">
        <v>5</v>
      </c>
      <c r="D138" s="25">
        <f>_xlfn.XLOOKUP(C138, Sheet2!A:A, Sheet2!B:B)</f>
        <v>9</v>
      </c>
      <c r="E138" s="26">
        <f>Table1[[#This Row],[Fees in JOD]]*1.4085</f>
        <v>12.676500000000001</v>
      </c>
      <c r="F138" s="24"/>
      <c r="G138" s="28">
        <f>_xlfn.XLOOKUP(F138, Sheet2!C:C, Sheet2!D:D)</f>
        <v>0</v>
      </c>
      <c r="H138" s="29">
        <f>Table1[[#This Row],[Added Fees JOD]]*1.4085</f>
        <v>0</v>
      </c>
      <c r="I138" s="48">
        <f>Table1[[#This Row],[Fees in JOD]]+Table1[[#This Row],[Added Fees JOD]]</f>
        <v>9</v>
      </c>
      <c r="J138" s="49">
        <f>Table1[[#This Row],[Fees in USD]]+Table1[[#This Row],[Added Fees USD]]</f>
        <v>12.676500000000001</v>
      </c>
      <c r="K138" s="40"/>
      <c r="L138" s="37"/>
      <c r="M138" s="37"/>
      <c r="N138" s="37"/>
      <c r="O138" s="37"/>
    </row>
    <row r="139" spans="1:15" s="1" customFormat="1" ht="31.2" x14ac:dyDescent="0.6">
      <c r="A139" s="23" t="s">
        <v>105</v>
      </c>
      <c r="B139" s="23" t="s">
        <v>382</v>
      </c>
      <c r="C139" s="24">
        <v>5</v>
      </c>
      <c r="D139" s="25">
        <f>_xlfn.XLOOKUP(C139, Sheet2!A:A, Sheet2!B:B)</f>
        <v>9</v>
      </c>
      <c r="E139" s="26">
        <f>Table1[[#This Row],[Fees in JOD]]*1.4085</f>
        <v>12.676500000000001</v>
      </c>
      <c r="F139" s="24"/>
      <c r="G139" s="28">
        <f>_xlfn.XLOOKUP(F139, Sheet2!C:C, Sheet2!D:D)</f>
        <v>0</v>
      </c>
      <c r="H139" s="29">
        <f>Table1[[#This Row],[Added Fees JOD]]*1.4085</f>
        <v>0</v>
      </c>
      <c r="I139" s="48">
        <f>Table1[[#This Row],[Fees in JOD]]+Table1[[#This Row],[Added Fees JOD]]</f>
        <v>9</v>
      </c>
      <c r="J139" s="49">
        <f>Table1[[#This Row],[Fees in USD]]+Table1[[#This Row],[Added Fees USD]]</f>
        <v>12.676500000000001</v>
      </c>
      <c r="K139" s="40"/>
      <c r="L139" s="37"/>
      <c r="M139" s="37"/>
      <c r="N139" s="37"/>
      <c r="O139" s="37"/>
    </row>
    <row r="140" spans="1:15" s="1" customFormat="1" ht="36" x14ac:dyDescent="0.6">
      <c r="A140" s="23" t="s">
        <v>107</v>
      </c>
      <c r="B140" s="23" t="s">
        <v>383</v>
      </c>
      <c r="C140" s="24">
        <v>5</v>
      </c>
      <c r="D140" s="25">
        <f>_xlfn.XLOOKUP(C140, Sheet2!A:A, Sheet2!B:B)</f>
        <v>9</v>
      </c>
      <c r="E140" s="26">
        <f>Table1[[#This Row],[Fees in JOD]]*1.4085</f>
        <v>12.676500000000001</v>
      </c>
      <c r="F140" s="24"/>
      <c r="G140" s="28">
        <f>_xlfn.XLOOKUP(F140, Sheet2!C:C, Sheet2!D:D)</f>
        <v>0</v>
      </c>
      <c r="H140" s="29">
        <f>Table1[[#This Row],[Added Fees JOD]]*1.4085</f>
        <v>0</v>
      </c>
      <c r="I140" s="48">
        <f>Table1[[#This Row],[Fees in JOD]]+Table1[[#This Row],[Added Fees JOD]]</f>
        <v>9</v>
      </c>
      <c r="J140" s="49">
        <f>Table1[[#This Row],[Fees in USD]]+Table1[[#This Row],[Added Fees USD]]</f>
        <v>12.676500000000001</v>
      </c>
      <c r="K140" s="40"/>
      <c r="L140" s="37"/>
      <c r="M140" s="37"/>
      <c r="N140" s="37"/>
      <c r="O140" s="37"/>
    </row>
    <row r="141" spans="1:15" s="1" customFormat="1" ht="36" x14ac:dyDescent="0.6">
      <c r="A141" s="23" t="s">
        <v>108</v>
      </c>
      <c r="B141" s="23" t="s">
        <v>384</v>
      </c>
      <c r="C141" s="24">
        <v>5</v>
      </c>
      <c r="D141" s="25">
        <f>_xlfn.XLOOKUP(C141, Sheet2!A:A, Sheet2!B:B)</f>
        <v>9</v>
      </c>
      <c r="E141" s="26">
        <f>Table1[[#This Row],[Fees in JOD]]*1.4085</f>
        <v>12.676500000000001</v>
      </c>
      <c r="F141" s="24"/>
      <c r="G141" s="28">
        <f>_xlfn.XLOOKUP(F141, Sheet2!C:C, Sheet2!D:D)</f>
        <v>0</v>
      </c>
      <c r="H141" s="29">
        <f>Table1[[#This Row],[Added Fees JOD]]*1.4085</f>
        <v>0</v>
      </c>
      <c r="I141" s="48">
        <f>Table1[[#This Row],[Fees in JOD]]+Table1[[#This Row],[Added Fees JOD]]</f>
        <v>9</v>
      </c>
      <c r="J141" s="49">
        <f>Table1[[#This Row],[Fees in USD]]+Table1[[#This Row],[Added Fees USD]]</f>
        <v>12.676500000000001</v>
      </c>
      <c r="K141" s="40"/>
      <c r="L141" s="37"/>
      <c r="M141" s="37"/>
      <c r="N141" s="37"/>
      <c r="O141" s="37"/>
    </row>
    <row r="142" spans="1:15" s="1" customFormat="1" ht="31.2" x14ac:dyDescent="0.6">
      <c r="A142" s="23" t="s">
        <v>109</v>
      </c>
      <c r="B142" s="23" t="s">
        <v>385</v>
      </c>
      <c r="C142" s="24">
        <v>5</v>
      </c>
      <c r="D142" s="25">
        <f>_xlfn.XLOOKUP(C142, Sheet2!A:A, Sheet2!B:B)</f>
        <v>9</v>
      </c>
      <c r="E142" s="26">
        <f>Table1[[#This Row],[Fees in JOD]]*1.4085</f>
        <v>12.676500000000001</v>
      </c>
      <c r="F142" s="24"/>
      <c r="G142" s="28">
        <f>_xlfn.XLOOKUP(F142, Sheet2!C:C, Sheet2!D:D)</f>
        <v>0</v>
      </c>
      <c r="H142" s="29">
        <f>Table1[[#This Row],[Added Fees JOD]]*1.4085</f>
        <v>0</v>
      </c>
      <c r="I142" s="48">
        <f>Table1[[#This Row],[Fees in JOD]]+Table1[[#This Row],[Added Fees JOD]]</f>
        <v>9</v>
      </c>
      <c r="J142" s="49">
        <f>Table1[[#This Row],[Fees in USD]]+Table1[[#This Row],[Added Fees USD]]</f>
        <v>12.676500000000001</v>
      </c>
      <c r="K142" s="40"/>
      <c r="L142" s="37"/>
      <c r="M142" s="37"/>
      <c r="N142" s="37"/>
      <c r="O142" s="37"/>
    </row>
    <row r="143" spans="1:15" s="1" customFormat="1" ht="31.2" x14ac:dyDescent="0.6">
      <c r="A143" s="23" t="s">
        <v>110</v>
      </c>
      <c r="B143" s="23" t="s">
        <v>386</v>
      </c>
      <c r="C143" s="24">
        <v>5</v>
      </c>
      <c r="D143" s="25">
        <f>_xlfn.XLOOKUP(C143, Sheet2!A:A, Sheet2!B:B)</f>
        <v>9</v>
      </c>
      <c r="E143" s="26">
        <f>Table1[[#This Row],[Fees in JOD]]*1.4085</f>
        <v>12.676500000000001</v>
      </c>
      <c r="F143" s="24"/>
      <c r="G143" s="28">
        <f>_xlfn.XLOOKUP(F143, Sheet2!C:C, Sheet2!D:D)</f>
        <v>0</v>
      </c>
      <c r="H143" s="29">
        <f>Table1[[#This Row],[Added Fees JOD]]*1.4085</f>
        <v>0</v>
      </c>
      <c r="I143" s="48">
        <f>Table1[[#This Row],[Fees in JOD]]+Table1[[#This Row],[Added Fees JOD]]</f>
        <v>9</v>
      </c>
      <c r="J143" s="49">
        <f>Table1[[#This Row],[Fees in USD]]+Table1[[#This Row],[Added Fees USD]]</f>
        <v>12.676500000000001</v>
      </c>
      <c r="K143" s="40"/>
      <c r="L143" s="37"/>
      <c r="M143" s="37"/>
      <c r="N143" s="37"/>
      <c r="O143" s="37"/>
    </row>
    <row r="144" spans="1:15" s="1" customFormat="1" ht="31.2" x14ac:dyDescent="0.6">
      <c r="A144" s="23" t="s">
        <v>111</v>
      </c>
      <c r="B144" s="23" t="s">
        <v>387</v>
      </c>
      <c r="C144" s="24">
        <v>5</v>
      </c>
      <c r="D144" s="25">
        <f>_xlfn.XLOOKUP(C144, Sheet2!A:A, Sheet2!B:B)</f>
        <v>9</v>
      </c>
      <c r="E144" s="26">
        <f>Table1[[#This Row],[Fees in JOD]]*1.4085</f>
        <v>12.676500000000001</v>
      </c>
      <c r="F144" s="24"/>
      <c r="G144" s="28">
        <f>_xlfn.XLOOKUP(F144, Sheet2!C:C, Sheet2!D:D)</f>
        <v>0</v>
      </c>
      <c r="H144" s="29">
        <f>Table1[[#This Row],[Added Fees JOD]]*1.4085</f>
        <v>0</v>
      </c>
      <c r="I144" s="48">
        <f>Table1[[#This Row],[Fees in JOD]]+Table1[[#This Row],[Added Fees JOD]]</f>
        <v>9</v>
      </c>
      <c r="J144" s="49">
        <f>Table1[[#This Row],[Fees in USD]]+Table1[[#This Row],[Added Fees USD]]</f>
        <v>12.676500000000001</v>
      </c>
      <c r="K144" s="40"/>
      <c r="L144" s="37"/>
      <c r="M144" s="37"/>
      <c r="N144" s="37"/>
      <c r="O144" s="37"/>
    </row>
    <row r="145" spans="1:15" s="1" customFormat="1" ht="31.2" x14ac:dyDescent="0.6">
      <c r="A145" s="23" t="s">
        <v>112</v>
      </c>
      <c r="B145" s="23" t="s">
        <v>388</v>
      </c>
      <c r="C145" s="24">
        <v>5</v>
      </c>
      <c r="D145" s="25">
        <f>_xlfn.XLOOKUP(C145, Sheet2!A:A, Sheet2!B:B)</f>
        <v>9</v>
      </c>
      <c r="E145" s="26">
        <f>Table1[[#This Row],[Fees in JOD]]*1.4085</f>
        <v>12.676500000000001</v>
      </c>
      <c r="F145" s="24"/>
      <c r="G145" s="28">
        <f>_xlfn.XLOOKUP(F145, Sheet2!C:C, Sheet2!D:D)</f>
        <v>0</v>
      </c>
      <c r="H145" s="29">
        <f>Table1[[#This Row],[Added Fees JOD]]*1.4085</f>
        <v>0</v>
      </c>
      <c r="I145" s="48">
        <f>Table1[[#This Row],[Fees in JOD]]+Table1[[#This Row],[Added Fees JOD]]</f>
        <v>9</v>
      </c>
      <c r="J145" s="49">
        <f>Table1[[#This Row],[Fees in USD]]+Table1[[#This Row],[Added Fees USD]]</f>
        <v>12.676500000000001</v>
      </c>
      <c r="K145" s="40"/>
      <c r="L145" s="37"/>
      <c r="M145" s="37"/>
      <c r="N145" s="37"/>
      <c r="O145" s="37"/>
    </row>
    <row r="146" spans="1:15" s="1" customFormat="1" ht="36" x14ac:dyDescent="0.6">
      <c r="A146" s="23" t="s">
        <v>113</v>
      </c>
      <c r="B146" s="23" t="s">
        <v>389</v>
      </c>
      <c r="C146" s="24">
        <v>5</v>
      </c>
      <c r="D146" s="25">
        <f>_xlfn.XLOOKUP(C146, Sheet2!A:A, Sheet2!B:B)</f>
        <v>9</v>
      </c>
      <c r="E146" s="26">
        <f>Table1[[#This Row],[Fees in JOD]]*1.4085</f>
        <v>12.676500000000001</v>
      </c>
      <c r="F146" s="24"/>
      <c r="G146" s="28">
        <f>_xlfn.XLOOKUP(F146, Sheet2!C:C, Sheet2!D:D)</f>
        <v>0</v>
      </c>
      <c r="H146" s="29">
        <f>Table1[[#This Row],[Added Fees JOD]]*1.4085</f>
        <v>0</v>
      </c>
      <c r="I146" s="48">
        <f>Table1[[#This Row],[Fees in JOD]]+Table1[[#This Row],[Added Fees JOD]]</f>
        <v>9</v>
      </c>
      <c r="J146" s="49">
        <f>Table1[[#This Row],[Fees in USD]]+Table1[[#This Row],[Added Fees USD]]</f>
        <v>12.676500000000001</v>
      </c>
      <c r="K146" s="40"/>
      <c r="L146" s="37"/>
      <c r="M146" s="37"/>
      <c r="N146" s="37"/>
      <c r="O146" s="37"/>
    </row>
    <row r="147" spans="1:15" s="1" customFormat="1" ht="31.2" x14ac:dyDescent="0.6">
      <c r="A147" s="23" t="s">
        <v>114</v>
      </c>
      <c r="B147" s="23" t="s">
        <v>390</v>
      </c>
      <c r="C147" s="24">
        <v>5</v>
      </c>
      <c r="D147" s="25">
        <f>_xlfn.XLOOKUP(C147, Sheet2!A:A, Sheet2!B:B)</f>
        <v>9</v>
      </c>
      <c r="E147" s="26">
        <f>Table1[[#This Row],[Fees in JOD]]*1.4085</f>
        <v>12.676500000000001</v>
      </c>
      <c r="F147" s="24"/>
      <c r="G147" s="28">
        <f>_xlfn.XLOOKUP(F147, Sheet2!C:C, Sheet2!D:D)</f>
        <v>0</v>
      </c>
      <c r="H147" s="29">
        <f>Table1[[#This Row],[Added Fees JOD]]*1.4085</f>
        <v>0</v>
      </c>
      <c r="I147" s="48">
        <f>Table1[[#This Row],[Fees in JOD]]+Table1[[#This Row],[Added Fees JOD]]</f>
        <v>9</v>
      </c>
      <c r="J147" s="49">
        <f>Table1[[#This Row],[Fees in USD]]+Table1[[#This Row],[Added Fees USD]]</f>
        <v>12.676500000000001</v>
      </c>
      <c r="K147" s="40"/>
      <c r="L147" s="37"/>
      <c r="M147" s="37"/>
      <c r="N147" s="37"/>
      <c r="O147" s="37"/>
    </row>
    <row r="148" spans="1:15" s="1" customFormat="1" ht="31.2" x14ac:dyDescent="0.6">
      <c r="A148" s="23" t="s">
        <v>115</v>
      </c>
      <c r="B148" s="23" t="s">
        <v>391</v>
      </c>
      <c r="C148" s="24">
        <v>5</v>
      </c>
      <c r="D148" s="25">
        <f>_xlfn.XLOOKUP(C148, Sheet2!A:A, Sheet2!B:B)</f>
        <v>9</v>
      </c>
      <c r="E148" s="26">
        <f>Table1[[#This Row],[Fees in JOD]]*1.4085</f>
        <v>12.676500000000001</v>
      </c>
      <c r="F148" s="24"/>
      <c r="G148" s="28">
        <f>_xlfn.XLOOKUP(F148, Sheet2!C:C, Sheet2!D:D)</f>
        <v>0</v>
      </c>
      <c r="H148" s="29">
        <f>Table1[[#This Row],[Added Fees JOD]]*1.4085</f>
        <v>0</v>
      </c>
      <c r="I148" s="48">
        <f>Table1[[#This Row],[Fees in JOD]]+Table1[[#This Row],[Added Fees JOD]]</f>
        <v>9</v>
      </c>
      <c r="J148" s="49">
        <f>Table1[[#This Row],[Fees in USD]]+Table1[[#This Row],[Added Fees USD]]</f>
        <v>12.676500000000001</v>
      </c>
      <c r="K148" s="40"/>
      <c r="L148" s="37"/>
      <c r="M148" s="37"/>
      <c r="N148" s="37"/>
      <c r="O148" s="37"/>
    </row>
    <row r="149" spans="1:15" s="1" customFormat="1" ht="31.2" x14ac:dyDescent="0.6">
      <c r="A149" s="23" t="s">
        <v>116</v>
      </c>
      <c r="B149" s="23" t="s">
        <v>392</v>
      </c>
      <c r="C149" s="24">
        <v>5</v>
      </c>
      <c r="D149" s="25">
        <f>_xlfn.XLOOKUP(C149, Sheet2!A:A, Sheet2!B:B)</f>
        <v>9</v>
      </c>
      <c r="E149" s="26">
        <f>Table1[[#This Row],[Fees in JOD]]*1.4085</f>
        <v>12.676500000000001</v>
      </c>
      <c r="F149" s="24"/>
      <c r="G149" s="28">
        <f>_xlfn.XLOOKUP(F149, Sheet2!C:C, Sheet2!D:D)</f>
        <v>0</v>
      </c>
      <c r="H149" s="29">
        <f>Table1[[#This Row],[Added Fees JOD]]*1.4085</f>
        <v>0</v>
      </c>
      <c r="I149" s="48">
        <f>Table1[[#This Row],[Fees in JOD]]+Table1[[#This Row],[Added Fees JOD]]</f>
        <v>9</v>
      </c>
      <c r="J149" s="49">
        <f>Table1[[#This Row],[Fees in USD]]+Table1[[#This Row],[Added Fees USD]]</f>
        <v>12.676500000000001</v>
      </c>
      <c r="K149" s="40"/>
      <c r="L149" s="37"/>
      <c r="M149" s="37"/>
      <c r="N149" s="37"/>
      <c r="O149" s="37"/>
    </row>
    <row r="150" spans="1:15" s="1" customFormat="1" ht="31.2" x14ac:dyDescent="0.6">
      <c r="A150" s="23" t="s">
        <v>117</v>
      </c>
      <c r="B150" s="23" t="s">
        <v>393</v>
      </c>
      <c r="C150" s="24">
        <v>5</v>
      </c>
      <c r="D150" s="25">
        <f>_xlfn.XLOOKUP(C150, Sheet2!A:A, Sheet2!B:B)</f>
        <v>9</v>
      </c>
      <c r="E150" s="26">
        <f>Table1[[#This Row],[Fees in JOD]]*1.4085</f>
        <v>12.676500000000001</v>
      </c>
      <c r="F150" s="24"/>
      <c r="G150" s="28">
        <f>_xlfn.XLOOKUP(F150, Sheet2!C:C, Sheet2!D:D)</f>
        <v>0</v>
      </c>
      <c r="H150" s="29">
        <f>Table1[[#This Row],[Added Fees JOD]]*1.4085</f>
        <v>0</v>
      </c>
      <c r="I150" s="48">
        <f>Table1[[#This Row],[Fees in JOD]]+Table1[[#This Row],[Added Fees JOD]]</f>
        <v>9</v>
      </c>
      <c r="J150" s="49">
        <f>Table1[[#This Row],[Fees in USD]]+Table1[[#This Row],[Added Fees USD]]</f>
        <v>12.676500000000001</v>
      </c>
      <c r="K150" s="40"/>
      <c r="L150" s="37"/>
      <c r="M150" s="37"/>
      <c r="N150" s="37"/>
      <c r="O150" s="37"/>
    </row>
    <row r="151" spans="1:15" s="1" customFormat="1" ht="31.2" x14ac:dyDescent="0.6">
      <c r="A151" s="23" t="s">
        <v>118</v>
      </c>
      <c r="B151" s="23" t="s">
        <v>394</v>
      </c>
      <c r="C151" s="24">
        <v>5</v>
      </c>
      <c r="D151" s="25">
        <f>_xlfn.XLOOKUP(C151, Sheet2!A:A, Sheet2!B:B)</f>
        <v>9</v>
      </c>
      <c r="E151" s="26">
        <f>Table1[[#This Row],[Fees in JOD]]*1.4085</f>
        <v>12.676500000000001</v>
      </c>
      <c r="F151" s="24"/>
      <c r="G151" s="28">
        <f>_xlfn.XLOOKUP(F151, Sheet2!C:C, Sheet2!D:D)</f>
        <v>0</v>
      </c>
      <c r="H151" s="29">
        <f>Table1[[#This Row],[Added Fees JOD]]*1.4085</f>
        <v>0</v>
      </c>
      <c r="I151" s="48">
        <f>Table1[[#This Row],[Fees in JOD]]+Table1[[#This Row],[Added Fees JOD]]</f>
        <v>9</v>
      </c>
      <c r="J151" s="49">
        <f>Table1[[#This Row],[Fees in USD]]+Table1[[#This Row],[Added Fees USD]]</f>
        <v>12.676500000000001</v>
      </c>
      <c r="K151" s="40"/>
      <c r="L151" s="37"/>
      <c r="M151" s="37"/>
      <c r="N151" s="37"/>
      <c r="O151" s="37"/>
    </row>
    <row r="152" spans="1:15" s="1" customFormat="1" ht="31.2" x14ac:dyDescent="0.6">
      <c r="A152" s="23" t="s">
        <v>119</v>
      </c>
      <c r="B152" s="23" t="s">
        <v>395</v>
      </c>
      <c r="C152" s="24">
        <v>5</v>
      </c>
      <c r="D152" s="25">
        <f>_xlfn.XLOOKUP(C152, Sheet2!A:A, Sheet2!B:B)</f>
        <v>9</v>
      </c>
      <c r="E152" s="26">
        <f>Table1[[#This Row],[Fees in JOD]]*1.4085</f>
        <v>12.676500000000001</v>
      </c>
      <c r="F152" s="24"/>
      <c r="G152" s="28">
        <f>_xlfn.XLOOKUP(F152, Sheet2!C:C, Sheet2!D:D)</f>
        <v>0</v>
      </c>
      <c r="H152" s="29">
        <f>Table1[[#This Row],[Added Fees JOD]]*1.4085</f>
        <v>0</v>
      </c>
      <c r="I152" s="48">
        <f>Table1[[#This Row],[Fees in JOD]]+Table1[[#This Row],[Added Fees JOD]]</f>
        <v>9</v>
      </c>
      <c r="J152" s="49">
        <f>Table1[[#This Row],[Fees in USD]]+Table1[[#This Row],[Added Fees USD]]</f>
        <v>12.676500000000001</v>
      </c>
      <c r="K152" s="40"/>
      <c r="L152" s="37"/>
      <c r="M152" s="37"/>
      <c r="N152" s="37"/>
      <c r="O152" s="37"/>
    </row>
    <row r="153" spans="1:15" s="1" customFormat="1" ht="31.2" x14ac:dyDescent="0.6">
      <c r="A153" s="23" t="s">
        <v>120</v>
      </c>
      <c r="B153" s="23" t="s">
        <v>396</v>
      </c>
      <c r="C153" s="24">
        <v>5</v>
      </c>
      <c r="D153" s="25">
        <f>_xlfn.XLOOKUP(C153, Sheet2!A:A, Sheet2!B:B)</f>
        <v>9</v>
      </c>
      <c r="E153" s="26">
        <f>Table1[[#This Row],[Fees in JOD]]*1.4085</f>
        <v>12.676500000000001</v>
      </c>
      <c r="F153" s="24"/>
      <c r="G153" s="28">
        <f>_xlfn.XLOOKUP(F153, Sheet2!C:C, Sheet2!D:D)</f>
        <v>0</v>
      </c>
      <c r="H153" s="29">
        <f>Table1[[#This Row],[Added Fees JOD]]*1.4085</f>
        <v>0</v>
      </c>
      <c r="I153" s="48">
        <f>Table1[[#This Row],[Fees in JOD]]+Table1[[#This Row],[Added Fees JOD]]</f>
        <v>9</v>
      </c>
      <c r="J153" s="49">
        <f>Table1[[#This Row],[Fees in USD]]+Table1[[#This Row],[Added Fees USD]]</f>
        <v>12.676500000000001</v>
      </c>
      <c r="K153" s="40"/>
      <c r="L153" s="37"/>
      <c r="M153" s="37"/>
      <c r="N153" s="37"/>
      <c r="O153" s="37"/>
    </row>
    <row r="154" spans="1:15" s="1" customFormat="1" ht="31.2" x14ac:dyDescent="0.6">
      <c r="A154" s="23" t="s">
        <v>121</v>
      </c>
      <c r="B154" s="23" t="s">
        <v>397</v>
      </c>
      <c r="C154" s="24">
        <v>5</v>
      </c>
      <c r="D154" s="25">
        <f>_xlfn.XLOOKUP(C154, Sheet2!A:A, Sheet2!B:B)</f>
        <v>9</v>
      </c>
      <c r="E154" s="26">
        <f>Table1[[#This Row],[Fees in JOD]]*1.4085</f>
        <v>12.676500000000001</v>
      </c>
      <c r="F154" s="24"/>
      <c r="G154" s="28">
        <f>_xlfn.XLOOKUP(F154, Sheet2!C:C, Sheet2!D:D)</f>
        <v>0</v>
      </c>
      <c r="H154" s="29">
        <f>Table1[[#This Row],[Added Fees JOD]]*1.4085</f>
        <v>0</v>
      </c>
      <c r="I154" s="48">
        <f>Table1[[#This Row],[Fees in JOD]]+Table1[[#This Row],[Added Fees JOD]]</f>
        <v>9</v>
      </c>
      <c r="J154" s="49">
        <f>Table1[[#This Row],[Fees in USD]]+Table1[[#This Row],[Added Fees USD]]</f>
        <v>12.676500000000001</v>
      </c>
      <c r="K154" s="40"/>
      <c r="L154" s="37"/>
      <c r="M154" s="37"/>
      <c r="N154" s="37"/>
      <c r="O154" s="37"/>
    </row>
    <row r="155" spans="1:15" s="1" customFormat="1" ht="31.2" x14ac:dyDescent="0.6">
      <c r="A155" s="23" t="s">
        <v>122</v>
      </c>
      <c r="B155" s="23" t="s">
        <v>398</v>
      </c>
      <c r="C155" s="24">
        <v>5</v>
      </c>
      <c r="D155" s="25">
        <f>_xlfn.XLOOKUP(C155, Sheet2!A:A, Sheet2!B:B)</f>
        <v>9</v>
      </c>
      <c r="E155" s="26">
        <f>Table1[[#This Row],[Fees in JOD]]*1.4085</f>
        <v>12.676500000000001</v>
      </c>
      <c r="F155" s="24"/>
      <c r="G155" s="28">
        <f>_xlfn.XLOOKUP(F155, Sheet2!C:C, Sheet2!D:D)</f>
        <v>0</v>
      </c>
      <c r="H155" s="29">
        <f>Table1[[#This Row],[Added Fees JOD]]*1.4085</f>
        <v>0</v>
      </c>
      <c r="I155" s="48">
        <f>Table1[[#This Row],[Fees in JOD]]+Table1[[#This Row],[Added Fees JOD]]</f>
        <v>9</v>
      </c>
      <c r="J155" s="49">
        <f>Table1[[#This Row],[Fees in USD]]+Table1[[#This Row],[Added Fees USD]]</f>
        <v>12.676500000000001</v>
      </c>
      <c r="K155" s="40"/>
      <c r="L155" s="37"/>
      <c r="M155" s="37"/>
      <c r="N155" s="37"/>
      <c r="O155" s="37"/>
    </row>
    <row r="156" spans="1:15" s="1" customFormat="1" ht="36" x14ac:dyDescent="0.6">
      <c r="A156" s="23" t="s">
        <v>123</v>
      </c>
      <c r="B156" s="23" t="s">
        <v>399</v>
      </c>
      <c r="C156" s="24">
        <v>5</v>
      </c>
      <c r="D156" s="25">
        <f>_xlfn.XLOOKUP(C156, Sheet2!A:A, Sheet2!B:B)</f>
        <v>9</v>
      </c>
      <c r="E156" s="26">
        <f>Table1[[#This Row],[Fees in JOD]]*1.4085</f>
        <v>12.676500000000001</v>
      </c>
      <c r="F156" s="24"/>
      <c r="G156" s="28">
        <f>_xlfn.XLOOKUP(F156, Sheet2!C:C, Sheet2!D:D)</f>
        <v>0</v>
      </c>
      <c r="H156" s="29">
        <f>Table1[[#This Row],[Added Fees JOD]]*1.4085</f>
        <v>0</v>
      </c>
      <c r="I156" s="48">
        <f>Table1[[#This Row],[Fees in JOD]]+Table1[[#This Row],[Added Fees JOD]]</f>
        <v>9</v>
      </c>
      <c r="J156" s="49">
        <f>Table1[[#This Row],[Fees in USD]]+Table1[[#This Row],[Added Fees USD]]</f>
        <v>12.676500000000001</v>
      </c>
      <c r="K156" s="40"/>
      <c r="L156" s="37"/>
      <c r="M156" s="37"/>
      <c r="N156" s="37"/>
      <c r="O156" s="37"/>
    </row>
    <row r="157" spans="1:15" s="1" customFormat="1" ht="31.2" x14ac:dyDescent="0.6">
      <c r="A157" s="23" t="s">
        <v>124</v>
      </c>
      <c r="B157" s="23" t="s">
        <v>400</v>
      </c>
      <c r="C157" s="24">
        <v>5</v>
      </c>
      <c r="D157" s="25">
        <f>_xlfn.XLOOKUP(C157, Sheet2!A:A, Sheet2!B:B)</f>
        <v>9</v>
      </c>
      <c r="E157" s="26">
        <f>Table1[[#This Row],[Fees in JOD]]*1.4085</f>
        <v>12.676500000000001</v>
      </c>
      <c r="F157" s="24"/>
      <c r="G157" s="28">
        <f>_xlfn.XLOOKUP(F157, Sheet2!C:C, Sheet2!D:D)</f>
        <v>0</v>
      </c>
      <c r="H157" s="29">
        <f>Table1[[#This Row],[Added Fees JOD]]*1.4085</f>
        <v>0</v>
      </c>
      <c r="I157" s="48">
        <f>Table1[[#This Row],[Fees in JOD]]+Table1[[#This Row],[Added Fees JOD]]</f>
        <v>9</v>
      </c>
      <c r="J157" s="49">
        <f>Table1[[#This Row],[Fees in USD]]+Table1[[#This Row],[Added Fees USD]]</f>
        <v>12.676500000000001</v>
      </c>
      <c r="K157" s="40"/>
      <c r="L157" s="37"/>
      <c r="M157" s="37"/>
      <c r="N157" s="37"/>
      <c r="O157" s="37"/>
    </row>
    <row r="158" spans="1:15" s="1" customFormat="1" ht="31.2" x14ac:dyDescent="0.6">
      <c r="A158" s="23" t="s">
        <v>125</v>
      </c>
      <c r="B158" s="23" t="s">
        <v>401</v>
      </c>
      <c r="C158" s="24">
        <v>5</v>
      </c>
      <c r="D158" s="25">
        <f>_xlfn.XLOOKUP(C158, Sheet2!A:A, Sheet2!B:B)</f>
        <v>9</v>
      </c>
      <c r="E158" s="26">
        <f>Table1[[#This Row],[Fees in JOD]]*1.4085</f>
        <v>12.676500000000001</v>
      </c>
      <c r="F158" s="24"/>
      <c r="G158" s="28">
        <f>_xlfn.XLOOKUP(F158, Sheet2!C:C, Sheet2!D:D)</f>
        <v>0</v>
      </c>
      <c r="H158" s="29">
        <f>Table1[[#This Row],[Added Fees JOD]]*1.4085</f>
        <v>0</v>
      </c>
      <c r="I158" s="48">
        <f>Table1[[#This Row],[Fees in JOD]]+Table1[[#This Row],[Added Fees JOD]]</f>
        <v>9</v>
      </c>
      <c r="J158" s="49">
        <f>Table1[[#This Row],[Fees in USD]]+Table1[[#This Row],[Added Fees USD]]</f>
        <v>12.676500000000001</v>
      </c>
      <c r="K158" s="40"/>
      <c r="L158" s="37"/>
      <c r="M158" s="37"/>
      <c r="N158" s="37"/>
      <c r="O158" s="37"/>
    </row>
    <row r="159" spans="1:15" s="1" customFormat="1" ht="31.2" x14ac:dyDescent="0.6">
      <c r="A159" s="23" t="s">
        <v>126</v>
      </c>
      <c r="B159" s="23" t="s">
        <v>402</v>
      </c>
      <c r="C159" s="24">
        <v>5</v>
      </c>
      <c r="D159" s="25">
        <f>_xlfn.XLOOKUP(C159, Sheet2!A:A, Sheet2!B:B)</f>
        <v>9</v>
      </c>
      <c r="E159" s="26">
        <f>Table1[[#This Row],[Fees in JOD]]*1.4085</f>
        <v>12.676500000000001</v>
      </c>
      <c r="F159" s="24"/>
      <c r="G159" s="28">
        <f>_xlfn.XLOOKUP(F159, Sheet2!C:C, Sheet2!D:D)</f>
        <v>0</v>
      </c>
      <c r="H159" s="29">
        <f>Table1[[#This Row],[Added Fees JOD]]*1.4085</f>
        <v>0</v>
      </c>
      <c r="I159" s="48">
        <f>Table1[[#This Row],[Fees in JOD]]+Table1[[#This Row],[Added Fees JOD]]</f>
        <v>9</v>
      </c>
      <c r="J159" s="49">
        <f>Table1[[#This Row],[Fees in USD]]+Table1[[#This Row],[Added Fees USD]]</f>
        <v>12.676500000000001</v>
      </c>
      <c r="K159" s="40"/>
      <c r="L159" s="37"/>
      <c r="M159" s="37"/>
      <c r="N159" s="37"/>
      <c r="O159" s="37"/>
    </row>
    <row r="160" spans="1:15" s="1" customFormat="1" ht="31.2" x14ac:dyDescent="0.6">
      <c r="A160" s="23" t="s">
        <v>127</v>
      </c>
      <c r="B160" s="23" t="s">
        <v>403</v>
      </c>
      <c r="C160" s="24">
        <v>5</v>
      </c>
      <c r="D160" s="25">
        <f>_xlfn.XLOOKUP(C160, Sheet2!A:A, Sheet2!B:B)</f>
        <v>9</v>
      </c>
      <c r="E160" s="26">
        <f>Table1[[#This Row],[Fees in JOD]]*1.4085</f>
        <v>12.676500000000001</v>
      </c>
      <c r="F160" s="24"/>
      <c r="G160" s="28">
        <f>_xlfn.XLOOKUP(F160, Sheet2!C:C, Sheet2!D:D)</f>
        <v>0</v>
      </c>
      <c r="H160" s="29">
        <f>Table1[[#This Row],[Added Fees JOD]]*1.4085</f>
        <v>0</v>
      </c>
      <c r="I160" s="48">
        <f>Table1[[#This Row],[Fees in JOD]]+Table1[[#This Row],[Added Fees JOD]]</f>
        <v>9</v>
      </c>
      <c r="J160" s="49">
        <f>Table1[[#This Row],[Fees in USD]]+Table1[[#This Row],[Added Fees USD]]</f>
        <v>12.676500000000001</v>
      </c>
      <c r="K160" s="40"/>
      <c r="L160" s="37"/>
      <c r="M160" s="37"/>
      <c r="N160" s="37"/>
      <c r="O160" s="37"/>
    </row>
    <row r="161" spans="1:15" s="1" customFormat="1" ht="31.2" x14ac:dyDescent="0.6">
      <c r="A161" s="23" t="s">
        <v>128</v>
      </c>
      <c r="B161" s="23" t="s">
        <v>404</v>
      </c>
      <c r="C161" s="24">
        <v>5</v>
      </c>
      <c r="D161" s="25">
        <f>_xlfn.XLOOKUP(C161, Sheet2!A:A, Sheet2!B:B)</f>
        <v>9</v>
      </c>
      <c r="E161" s="26">
        <f>Table1[[#This Row],[Fees in JOD]]*1.4085</f>
        <v>12.676500000000001</v>
      </c>
      <c r="F161" s="24"/>
      <c r="G161" s="28">
        <f>_xlfn.XLOOKUP(F161, Sheet2!C:C, Sheet2!D:D)</f>
        <v>0</v>
      </c>
      <c r="H161" s="29">
        <f>Table1[[#This Row],[Added Fees JOD]]*1.4085</f>
        <v>0</v>
      </c>
      <c r="I161" s="48">
        <f>Table1[[#This Row],[Fees in JOD]]+Table1[[#This Row],[Added Fees JOD]]</f>
        <v>9</v>
      </c>
      <c r="J161" s="49">
        <f>Table1[[#This Row],[Fees in USD]]+Table1[[#This Row],[Added Fees USD]]</f>
        <v>12.676500000000001</v>
      </c>
      <c r="K161" s="40"/>
      <c r="L161" s="37"/>
      <c r="M161" s="37"/>
      <c r="N161" s="37"/>
      <c r="O161" s="37"/>
    </row>
    <row r="162" spans="1:15" s="1" customFormat="1" ht="31.2" x14ac:dyDescent="0.6">
      <c r="A162" s="23" t="s">
        <v>129</v>
      </c>
      <c r="B162" s="23" t="s">
        <v>405</v>
      </c>
      <c r="C162" s="24">
        <v>5</v>
      </c>
      <c r="D162" s="25">
        <f>_xlfn.XLOOKUP(C162, Sheet2!A:A, Sheet2!B:B)</f>
        <v>9</v>
      </c>
      <c r="E162" s="26">
        <f>Table1[[#This Row],[Fees in JOD]]*1.4085</f>
        <v>12.676500000000001</v>
      </c>
      <c r="F162" s="24"/>
      <c r="G162" s="28">
        <f>_xlfn.XLOOKUP(F162, Sheet2!C:C, Sheet2!D:D)</f>
        <v>0</v>
      </c>
      <c r="H162" s="29">
        <f>Table1[[#This Row],[Added Fees JOD]]*1.4085</f>
        <v>0</v>
      </c>
      <c r="I162" s="48">
        <f>Table1[[#This Row],[Fees in JOD]]+Table1[[#This Row],[Added Fees JOD]]</f>
        <v>9</v>
      </c>
      <c r="J162" s="49">
        <f>Table1[[#This Row],[Fees in USD]]+Table1[[#This Row],[Added Fees USD]]</f>
        <v>12.676500000000001</v>
      </c>
      <c r="K162" s="40"/>
      <c r="L162" s="37"/>
      <c r="M162" s="37"/>
      <c r="N162" s="37"/>
      <c r="O162" s="37"/>
    </row>
    <row r="163" spans="1:15" s="1" customFormat="1" ht="36" x14ac:dyDescent="0.6">
      <c r="A163" s="23" t="s">
        <v>130</v>
      </c>
      <c r="B163" s="23" t="s">
        <v>406</v>
      </c>
      <c r="C163" s="24">
        <v>5</v>
      </c>
      <c r="D163" s="25">
        <f>_xlfn.XLOOKUP(C163, Sheet2!A:A, Sheet2!B:B)</f>
        <v>9</v>
      </c>
      <c r="E163" s="26">
        <f>Table1[[#This Row],[Fees in JOD]]*1.4085</f>
        <v>12.676500000000001</v>
      </c>
      <c r="F163" s="24"/>
      <c r="G163" s="28">
        <f>_xlfn.XLOOKUP(F163, Sheet2!C:C, Sheet2!D:D)</f>
        <v>0</v>
      </c>
      <c r="H163" s="29">
        <f>Table1[[#This Row],[Added Fees JOD]]*1.4085</f>
        <v>0</v>
      </c>
      <c r="I163" s="48">
        <f>Table1[[#This Row],[Fees in JOD]]+Table1[[#This Row],[Added Fees JOD]]</f>
        <v>9</v>
      </c>
      <c r="J163" s="49">
        <f>Table1[[#This Row],[Fees in USD]]+Table1[[#This Row],[Added Fees USD]]</f>
        <v>12.676500000000001</v>
      </c>
      <c r="K163" s="40"/>
      <c r="L163" s="37"/>
      <c r="M163" s="37"/>
      <c r="N163" s="37"/>
      <c r="O163" s="37"/>
    </row>
    <row r="164" spans="1:15" s="1" customFormat="1" ht="36" x14ac:dyDescent="0.6">
      <c r="A164" s="23" t="s">
        <v>131</v>
      </c>
      <c r="B164" s="23" t="s">
        <v>407</v>
      </c>
      <c r="C164" s="24">
        <v>5</v>
      </c>
      <c r="D164" s="25">
        <f>_xlfn.XLOOKUP(C164, Sheet2!A:A, Sheet2!B:B)</f>
        <v>9</v>
      </c>
      <c r="E164" s="26">
        <f>Table1[[#This Row],[Fees in JOD]]*1.4085</f>
        <v>12.676500000000001</v>
      </c>
      <c r="F164" s="24"/>
      <c r="G164" s="28">
        <f>_xlfn.XLOOKUP(F164, Sheet2!C:C, Sheet2!D:D)</f>
        <v>0</v>
      </c>
      <c r="H164" s="29">
        <f>Table1[[#This Row],[Added Fees JOD]]*1.4085</f>
        <v>0</v>
      </c>
      <c r="I164" s="48">
        <f>Table1[[#This Row],[Fees in JOD]]+Table1[[#This Row],[Added Fees JOD]]</f>
        <v>9</v>
      </c>
      <c r="J164" s="49">
        <f>Table1[[#This Row],[Fees in USD]]+Table1[[#This Row],[Added Fees USD]]</f>
        <v>12.676500000000001</v>
      </c>
      <c r="K164" s="40"/>
      <c r="L164" s="37"/>
      <c r="M164" s="37"/>
      <c r="N164" s="37"/>
      <c r="O164" s="37"/>
    </row>
    <row r="165" spans="1:15" s="1" customFormat="1" ht="36" x14ac:dyDescent="0.6">
      <c r="A165" s="23" t="s">
        <v>132</v>
      </c>
      <c r="B165" s="23" t="s">
        <v>408</v>
      </c>
      <c r="C165" s="24">
        <v>5</v>
      </c>
      <c r="D165" s="25">
        <f>_xlfn.XLOOKUP(C165, Sheet2!A:A, Sheet2!B:B)</f>
        <v>9</v>
      </c>
      <c r="E165" s="26">
        <f>Table1[[#This Row],[Fees in JOD]]*1.4085</f>
        <v>12.676500000000001</v>
      </c>
      <c r="F165" s="24"/>
      <c r="G165" s="28">
        <f>_xlfn.XLOOKUP(F165, Sheet2!C:C, Sheet2!D:D)</f>
        <v>0</v>
      </c>
      <c r="H165" s="29">
        <f>Table1[[#This Row],[Added Fees JOD]]*1.4085</f>
        <v>0</v>
      </c>
      <c r="I165" s="48">
        <f>Table1[[#This Row],[Fees in JOD]]+Table1[[#This Row],[Added Fees JOD]]</f>
        <v>9</v>
      </c>
      <c r="J165" s="49">
        <f>Table1[[#This Row],[Fees in USD]]+Table1[[#This Row],[Added Fees USD]]</f>
        <v>12.676500000000001</v>
      </c>
      <c r="K165" s="40"/>
      <c r="L165" s="37"/>
      <c r="M165" s="37"/>
      <c r="N165" s="37"/>
      <c r="O165" s="37"/>
    </row>
    <row r="166" spans="1:15" s="1" customFormat="1" ht="31.2" x14ac:dyDescent="0.6">
      <c r="A166" s="23" t="s">
        <v>133</v>
      </c>
      <c r="B166" s="23" t="s">
        <v>409</v>
      </c>
      <c r="C166" s="24">
        <v>5</v>
      </c>
      <c r="D166" s="25">
        <f>_xlfn.XLOOKUP(C166, Sheet2!A:A, Sheet2!B:B)</f>
        <v>9</v>
      </c>
      <c r="E166" s="26">
        <f>Table1[[#This Row],[Fees in JOD]]*1.4085</f>
        <v>12.676500000000001</v>
      </c>
      <c r="F166" s="24"/>
      <c r="G166" s="28">
        <f>_xlfn.XLOOKUP(F166, Sheet2!C:C, Sheet2!D:D)</f>
        <v>0</v>
      </c>
      <c r="H166" s="29">
        <f>Table1[[#This Row],[Added Fees JOD]]*1.4085</f>
        <v>0</v>
      </c>
      <c r="I166" s="48">
        <f>Table1[[#This Row],[Fees in JOD]]+Table1[[#This Row],[Added Fees JOD]]</f>
        <v>9</v>
      </c>
      <c r="J166" s="49">
        <f>Table1[[#This Row],[Fees in USD]]+Table1[[#This Row],[Added Fees USD]]</f>
        <v>12.676500000000001</v>
      </c>
      <c r="K166" s="40"/>
      <c r="L166" s="37"/>
      <c r="M166" s="37"/>
      <c r="N166" s="37"/>
      <c r="O166" s="37"/>
    </row>
    <row r="167" spans="1:15" s="1" customFormat="1" ht="31.2" x14ac:dyDescent="0.6">
      <c r="A167" s="23" t="s">
        <v>134</v>
      </c>
      <c r="B167" s="23" t="s">
        <v>410</v>
      </c>
      <c r="C167" s="24">
        <v>5</v>
      </c>
      <c r="D167" s="25">
        <f>_xlfn.XLOOKUP(C167, Sheet2!A:A, Sheet2!B:B)</f>
        <v>9</v>
      </c>
      <c r="E167" s="26">
        <f>Table1[[#This Row],[Fees in JOD]]*1.4085</f>
        <v>12.676500000000001</v>
      </c>
      <c r="F167" s="24"/>
      <c r="G167" s="28">
        <f>_xlfn.XLOOKUP(F167, Sheet2!C:C, Sheet2!D:D)</f>
        <v>0</v>
      </c>
      <c r="H167" s="29">
        <f>Table1[[#This Row],[Added Fees JOD]]*1.4085</f>
        <v>0</v>
      </c>
      <c r="I167" s="48">
        <f>Table1[[#This Row],[Fees in JOD]]+Table1[[#This Row],[Added Fees JOD]]</f>
        <v>9</v>
      </c>
      <c r="J167" s="49">
        <f>Table1[[#This Row],[Fees in USD]]+Table1[[#This Row],[Added Fees USD]]</f>
        <v>12.676500000000001</v>
      </c>
      <c r="K167" s="40"/>
      <c r="L167" s="37"/>
      <c r="M167" s="37"/>
      <c r="N167" s="37"/>
      <c r="O167" s="37"/>
    </row>
    <row r="168" spans="1:15" s="1" customFormat="1" ht="31.2" x14ac:dyDescent="0.6">
      <c r="A168" s="23" t="s">
        <v>135</v>
      </c>
      <c r="B168" s="23" t="s">
        <v>411</v>
      </c>
      <c r="C168" s="24">
        <v>5</v>
      </c>
      <c r="D168" s="25">
        <f>_xlfn.XLOOKUP(C168, Sheet2!A:A, Sheet2!B:B)</f>
        <v>9</v>
      </c>
      <c r="E168" s="26">
        <f>Table1[[#This Row],[Fees in JOD]]*1.4085</f>
        <v>12.676500000000001</v>
      </c>
      <c r="F168" s="24"/>
      <c r="G168" s="28">
        <f>_xlfn.XLOOKUP(F168, Sheet2!C:C, Sheet2!D:D)</f>
        <v>0</v>
      </c>
      <c r="H168" s="29">
        <f>Table1[[#This Row],[Added Fees JOD]]*1.4085</f>
        <v>0</v>
      </c>
      <c r="I168" s="48">
        <f>Table1[[#This Row],[Fees in JOD]]+Table1[[#This Row],[Added Fees JOD]]</f>
        <v>9</v>
      </c>
      <c r="J168" s="49">
        <f>Table1[[#This Row],[Fees in USD]]+Table1[[#This Row],[Added Fees USD]]</f>
        <v>12.676500000000001</v>
      </c>
      <c r="K168" s="40"/>
      <c r="L168" s="37"/>
      <c r="M168" s="37"/>
      <c r="N168" s="37"/>
      <c r="O168" s="37"/>
    </row>
    <row r="169" spans="1:15" s="1" customFormat="1" ht="31.2" x14ac:dyDescent="0.6">
      <c r="A169" s="23" t="s">
        <v>136</v>
      </c>
      <c r="B169" s="23" t="s">
        <v>412</v>
      </c>
      <c r="C169" s="24">
        <v>5</v>
      </c>
      <c r="D169" s="25">
        <f>_xlfn.XLOOKUP(C169, Sheet2!A:A, Sheet2!B:B)</f>
        <v>9</v>
      </c>
      <c r="E169" s="26">
        <f>Table1[[#This Row],[Fees in JOD]]*1.4085</f>
        <v>12.676500000000001</v>
      </c>
      <c r="F169" s="24"/>
      <c r="G169" s="28">
        <f>_xlfn.XLOOKUP(F169, Sheet2!C:C, Sheet2!D:D)</f>
        <v>0</v>
      </c>
      <c r="H169" s="29">
        <f>Table1[[#This Row],[Added Fees JOD]]*1.4085</f>
        <v>0</v>
      </c>
      <c r="I169" s="48">
        <f>Table1[[#This Row],[Fees in JOD]]+Table1[[#This Row],[Added Fees JOD]]</f>
        <v>9</v>
      </c>
      <c r="J169" s="49">
        <f>Table1[[#This Row],[Fees in USD]]+Table1[[#This Row],[Added Fees USD]]</f>
        <v>12.676500000000001</v>
      </c>
      <c r="K169" s="40"/>
      <c r="L169" s="37"/>
      <c r="M169" s="37"/>
      <c r="N169" s="37"/>
      <c r="O169" s="37"/>
    </row>
    <row r="170" spans="1:15" s="1" customFormat="1" ht="31.2" x14ac:dyDescent="0.6">
      <c r="A170" s="23" t="s">
        <v>137</v>
      </c>
      <c r="B170" s="23" t="s">
        <v>413</v>
      </c>
      <c r="C170" s="24">
        <v>5</v>
      </c>
      <c r="D170" s="25">
        <f>_xlfn.XLOOKUP(C170, Sheet2!A:A, Sheet2!B:B)</f>
        <v>9</v>
      </c>
      <c r="E170" s="26">
        <f>Table1[[#This Row],[Fees in JOD]]*1.4085</f>
        <v>12.676500000000001</v>
      </c>
      <c r="F170" s="24"/>
      <c r="G170" s="28">
        <f>_xlfn.XLOOKUP(F170, Sheet2!C:C, Sheet2!D:D)</f>
        <v>0</v>
      </c>
      <c r="H170" s="29">
        <f>Table1[[#This Row],[Added Fees JOD]]*1.4085</f>
        <v>0</v>
      </c>
      <c r="I170" s="48">
        <f>Table1[[#This Row],[Fees in JOD]]+Table1[[#This Row],[Added Fees JOD]]</f>
        <v>9</v>
      </c>
      <c r="J170" s="49">
        <f>Table1[[#This Row],[Fees in USD]]+Table1[[#This Row],[Added Fees USD]]</f>
        <v>12.676500000000001</v>
      </c>
      <c r="K170" s="40"/>
      <c r="L170" s="37"/>
      <c r="M170" s="37"/>
      <c r="N170" s="37"/>
      <c r="O170" s="37"/>
    </row>
    <row r="171" spans="1:15" s="1" customFormat="1" ht="31.2" x14ac:dyDescent="0.6">
      <c r="A171" s="23" t="s">
        <v>138</v>
      </c>
      <c r="B171" s="23" t="s">
        <v>414</v>
      </c>
      <c r="C171" s="24">
        <v>5</v>
      </c>
      <c r="D171" s="25">
        <f>_xlfn.XLOOKUP(C171, Sheet2!A:A, Sheet2!B:B)</f>
        <v>9</v>
      </c>
      <c r="E171" s="26">
        <f>Table1[[#This Row],[Fees in JOD]]*1.4085</f>
        <v>12.676500000000001</v>
      </c>
      <c r="F171" s="24"/>
      <c r="G171" s="28">
        <f>_xlfn.XLOOKUP(F171, Sheet2!C:C, Sheet2!D:D)</f>
        <v>0</v>
      </c>
      <c r="H171" s="29">
        <f>Table1[[#This Row],[Added Fees JOD]]*1.4085</f>
        <v>0</v>
      </c>
      <c r="I171" s="48">
        <f>Table1[[#This Row],[Fees in JOD]]+Table1[[#This Row],[Added Fees JOD]]</f>
        <v>9</v>
      </c>
      <c r="J171" s="49">
        <f>Table1[[#This Row],[Fees in USD]]+Table1[[#This Row],[Added Fees USD]]</f>
        <v>12.676500000000001</v>
      </c>
      <c r="K171" s="40"/>
      <c r="L171" s="37"/>
      <c r="M171" s="37"/>
      <c r="N171" s="37"/>
      <c r="O171" s="37"/>
    </row>
    <row r="172" spans="1:15" s="1" customFormat="1" ht="31.2" x14ac:dyDescent="0.6">
      <c r="A172" s="23" t="s">
        <v>139</v>
      </c>
      <c r="B172" s="23" t="s">
        <v>415</v>
      </c>
      <c r="C172" s="24">
        <v>5</v>
      </c>
      <c r="D172" s="25">
        <f>_xlfn.XLOOKUP(C172, Sheet2!A:A, Sheet2!B:B)</f>
        <v>9</v>
      </c>
      <c r="E172" s="26">
        <f>Table1[[#This Row],[Fees in JOD]]*1.4085</f>
        <v>12.676500000000001</v>
      </c>
      <c r="F172" s="24"/>
      <c r="G172" s="28">
        <f>_xlfn.XLOOKUP(F172, Sheet2!C:C, Sheet2!D:D)</f>
        <v>0</v>
      </c>
      <c r="H172" s="29">
        <f>Table1[[#This Row],[Added Fees JOD]]*1.4085</f>
        <v>0</v>
      </c>
      <c r="I172" s="48">
        <f>Table1[[#This Row],[Fees in JOD]]+Table1[[#This Row],[Added Fees JOD]]</f>
        <v>9</v>
      </c>
      <c r="J172" s="49">
        <f>Table1[[#This Row],[Fees in USD]]+Table1[[#This Row],[Added Fees USD]]</f>
        <v>12.676500000000001</v>
      </c>
      <c r="K172" s="40"/>
      <c r="L172" s="37"/>
      <c r="M172" s="37"/>
      <c r="N172" s="37"/>
      <c r="O172" s="37"/>
    </row>
    <row r="173" spans="1:15" s="1" customFormat="1" ht="31.2" x14ac:dyDescent="0.6">
      <c r="A173" s="23" t="s">
        <v>140</v>
      </c>
      <c r="B173" s="23" t="s">
        <v>416</v>
      </c>
      <c r="C173" s="24">
        <v>5</v>
      </c>
      <c r="D173" s="25">
        <f>_xlfn.XLOOKUP(C173, Sheet2!A:A, Sheet2!B:B)</f>
        <v>9</v>
      </c>
      <c r="E173" s="26">
        <f>Table1[[#This Row],[Fees in JOD]]*1.4085</f>
        <v>12.676500000000001</v>
      </c>
      <c r="F173" s="24"/>
      <c r="G173" s="28">
        <f>_xlfn.XLOOKUP(F173, Sheet2!C:C, Sheet2!D:D)</f>
        <v>0</v>
      </c>
      <c r="H173" s="29">
        <f>Table1[[#This Row],[Added Fees JOD]]*1.4085</f>
        <v>0</v>
      </c>
      <c r="I173" s="48">
        <f>Table1[[#This Row],[Fees in JOD]]+Table1[[#This Row],[Added Fees JOD]]</f>
        <v>9</v>
      </c>
      <c r="J173" s="49">
        <f>Table1[[#This Row],[Fees in USD]]+Table1[[#This Row],[Added Fees USD]]</f>
        <v>12.676500000000001</v>
      </c>
      <c r="K173" s="40"/>
      <c r="L173" s="37"/>
      <c r="M173" s="37"/>
      <c r="N173" s="37"/>
      <c r="O173" s="37"/>
    </row>
    <row r="174" spans="1:15" s="1" customFormat="1" ht="31.2" x14ac:dyDescent="0.6">
      <c r="A174" s="23" t="s">
        <v>141</v>
      </c>
      <c r="B174" s="23" t="s">
        <v>417</v>
      </c>
      <c r="C174" s="24">
        <v>5</v>
      </c>
      <c r="D174" s="25">
        <f>_xlfn.XLOOKUP(C174, Sheet2!A:A, Sheet2!B:B)</f>
        <v>9</v>
      </c>
      <c r="E174" s="26">
        <f>Table1[[#This Row],[Fees in JOD]]*1.4085</f>
        <v>12.676500000000001</v>
      </c>
      <c r="F174" s="24"/>
      <c r="G174" s="28">
        <f>_xlfn.XLOOKUP(F174, Sheet2!C:C, Sheet2!D:D)</f>
        <v>0</v>
      </c>
      <c r="H174" s="29">
        <f>Table1[[#This Row],[Added Fees JOD]]*1.4085</f>
        <v>0</v>
      </c>
      <c r="I174" s="48">
        <f>Table1[[#This Row],[Fees in JOD]]+Table1[[#This Row],[Added Fees JOD]]</f>
        <v>9</v>
      </c>
      <c r="J174" s="49">
        <f>Table1[[#This Row],[Fees in USD]]+Table1[[#This Row],[Added Fees USD]]</f>
        <v>12.676500000000001</v>
      </c>
      <c r="K174" s="40"/>
      <c r="L174" s="37"/>
      <c r="M174" s="37"/>
      <c r="N174" s="37"/>
      <c r="O174" s="37"/>
    </row>
    <row r="175" spans="1:15" s="1" customFormat="1" ht="31.2" x14ac:dyDescent="0.6">
      <c r="A175" s="23" t="s">
        <v>142</v>
      </c>
      <c r="B175" s="23" t="s">
        <v>418</v>
      </c>
      <c r="C175" s="24">
        <v>5</v>
      </c>
      <c r="D175" s="25">
        <f>_xlfn.XLOOKUP(C175, Sheet2!A:A, Sheet2!B:B)</f>
        <v>9</v>
      </c>
      <c r="E175" s="26">
        <f>Table1[[#This Row],[Fees in JOD]]*1.4085</f>
        <v>12.676500000000001</v>
      </c>
      <c r="F175" s="24"/>
      <c r="G175" s="28">
        <f>_xlfn.XLOOKUP(F175, Sheet2!C:C, Sheet2!D:D)</f>
        <v>0</v>
      </c>
      <c r="H175" s="29">
        <f>Table1[[#This Row],[Added Fees JOD]]*1.4085</f>
        <v>0</v>
      </c>
      <c r="I175" s="48">
        <f>Table1[[#This Row],[Fees in JOD]]+Table1[[#This Row],[Added Fees JOD]]</f>
        <v>9</v>
      </c>
      <c r="J175" s="49">
        <f>Table1[[#This Row],[Fees in USD]]+Table1[[#This Row],[Added Fees USD]]</f>
        <v>12.676500000000001</v>
      </c>
      <c r="K175" s="40"/>
      <c r="L175" s="37"/>
      <c r="M175" s="37"/>
      <c r="N175" s="37"/>
      <c r="O175" s="37"/>
    </row>
    <row r="176" spans="1:15" s="1" customFormat="1" ht="31.2" x14ac:dyDescent="0.6">
      <c r="A176" s="23" t="s">
        <v>143</v>
      </c>
      <c r="B176" s="23" t="s">
        <v>419</v>
      </c>
      <c r="C176" s="24">
        <v>5</v>
      </c>
      <c r="D176" s="25">
        <f>_xlfn.XLOOKUP(C176, Sheet2!A:A, Sheet2!B:B)</f>
        <v>9</v>
      </c>
      <c r="E176" s="26">
        <f>Table1[[#This Row],[Fees in JOD]]*1.4085</f>
        <v>12.676500000000001</v>
      </c>
      <c r="F176" s="24"/>
      <c r="G176" s="28">
        <f>_xlfn.XLOOKUP(F176, Sheet2!C:C, Sheet2!D:D)</f>
        <v>0</v>
      </c>
      <c r="H176" s="29">
        <f>Table1[[#This Row],[Added Fees JOD]]*1.4085</f>
        <v>0</v>
      </c>
      <c r="I176" s="48">
        <f>Table1[[#This Row],[Fees in JOD]]+Table1[[#This Row],[Added Fees JOD]]</f>
        <v>9</v>
      </c>
      <c r="J176" s="49">
        <f>Table1[[#This Row],[Fees in USD]]+Table1[[#This Row],[Added Fees USD]]</f>
        <v>12.676500000000001</v>
      </c>
      <c r="K176" s="40"/>
      <c r="L176" s="37"/>
      <c r="M176" s="37"/>
      <c r="N176" s="37"/>
      <c r="O176" s="37"/>
    </row>
    <row r="177" spans="1:15" s="1" customFormat="1" ht="31.2" x14ac:dyDescent="0.6">
      <c r="A177" s="23" t="s">
        <v>144</v>
      </c>
      <c r="B177" s="23" t="s">
        <v>420</v>
      </c>
      <c r="C177" s="24">
        <v>5</v>
      </c>
      <c r="D177" s="25">
        <f>_xlfn.XLOOKUP(C177, Sheet2!A:A, Sheet2!B:B)</f>
        <v>9</v>
      </c>
      <c r="E177" s="26">
        <f>Table1[[#This Row],[Fees in JOD]]*1.4085</f>
        <v>12.676500000000001</v>
      </c>
      <c r="F177" s="24"/>
      <c r="G177" s="28">
        <f>_xlfn.XLOOKUP(F177, Sheet2!C:C, Sheet2!D:D)</f>
        <v>0</v>
      </c>
      <c r="H177" s="29">
        <f>Table1[[#This Row],[Added Fees JOD]]*1.4085</f>
        <v>0</v>
      </c>
      <c r="I177" s="48">
        <f>Table1[[#This Row],[Fees in JOD]]+Table1[[#This Row],[Added Fees JOD]]</f>
        <v>9</v>
      </c>
      <c r="J177" s="49">
        <f>Table1[[#This Row],[Fees in USD]]+Table1[[#This Row],[Added Fees USD]]</f>
        <v>12.676500000000001</v>
      </c>
      <c r="K177" s="40"/>
      <c r="L177" s="37"/>
      <c r="M177" s="37"/>
      <c r="N177" s="37"/>
      <c r="O177" s="37"/>
    </row>
    <row r="178" spans="1:15" s="1" customFormat="1" ht="31.2" x14ac:dyDescent="0.6">
      <c r="A178" s="23" t="s">
        <v>145</v>
      </c>
      <c r="B178" s="23" t="s">
        <v>421</v>
      </c>
      <c r="C178" s="24">
        <v>5</v>
      </c>
      <c r="D178" s="25">
        <f>_xlfn.XLOOKUP(C178, Sheet2!A:A, Sheet2!B:B)</f>
        <v>9</v>
      </c>
      <c r="E178" s="26">
        <f>Table1[[#This Row],[Fees in JOD]]*1.4085</f>
        <v>12.676500000000001</v>
      </c>
      <c r="F178" s="24"/>
      <c r="G178" s="28">
        <f>_xlfn.XLOOKUP(F178, Sheet2!C:C, Sheet2!D:D)</f>
        <v>0</v>
      </c>
      <c r="H178" s="29">
        <f>Table1[[#This Row],[Added Fees JOD]]*1.4085</f>
        <v>0</v>
      </c>
      <c r="I178" s="48">
        <f>Table1[[#This Row],[Fees in JOD]]+Table1[[#This Row],[Added Fees JOD]]</f>
        <v>9</v>
      </c>
      <c r="J178" s="49">
        <f>Table1[[#This Row],[Fees in USD]]+Table1[[#This Row],[Added Fees USD]]</f>
        <v>12.676500000000001</v>
      </c>
      <c r="K178" s="40"/>
      <c r="L178" s="37"/>
      <c r="M178" s="37"/>
      <c r="N178" s="37"/>
      <c r="O178" s="37"/>
    </row>
    <row r="179" spans="1:15" s="1" customFormat="1" ht="31.2" x14ac:dyDescent="0.6">
      <c r="A179" s="23" t="s">
        <v>146</v>
      </c>
      <c r="B179" s="23" t="s">
        <v>422</v>
      </c>
      <c r="C179" s="24">
        <v>5</v>
      </c>
      <c r="D179" s="25">
        <f>_xlfn.XLOOKUP(C179, Sheet2!A:A, Sheet2!B:B)</f>
        <v>9</v>
      </c>
      <c r="E179" s="26">
        <f>Table1[[#This Row],[Fees in JOD]]*1.4085</f>
        <v>12.676500000000001</v>
      </c>
      <c r="F179" s="24"/>
      <c r="G179" s="28">
        <f>_xlfn.XLOOKUP(F179, Sheet2!C:C, Sheet2!D:D)</f>
        <v>0</v>
      </c>
      <c r="H179" s="29">
        <f>Table1[[#This Row],[Added Fees JOD]]*1.4085</f>
        <v>0</v>
      </c>
      <c r="I179" s="48">
        <f>Table1[[#This Row],[Fees in JOD]]+Table1[[#This Row],[Added Fees JOD]]</f>
        <v>9</v>
      </c>
      <c r="J179" s="49">
        <f>Table1[[#This Row],[Fees in USD]]+Table1[[#This Row],[Added Fees USD]]</f>
        <v>12.676500000000001</v>
      </c>
      <c r="K179" s="40"/>
      <c r="L179" s="37"/>
      <c r="M179" s="37"/>
      <c r="N179" s="37"/>
      <c r="O179" s="37"/>
    </row>
    <row r="180" spans="1:15" s="1" customFormat="1" ht="31.2" x14ac:dyDescent="0.6">
      <c r="A180" s="23" t="s">
        <v>147</v>
      </c>
      <c r="B180" s="23" t="s">
        <v>423</v>
      </c>
      <c r="C180" s="24">
        <v>5</v>
      </c>
      <c r="D180" s="25">
        <f>_xlfn.XLOOKUP(C180, Sheet2!A:A, Sheet2!B:B)</f>
        <v>9</v>
      </c>
      <c r="E180" s="26">
        <f>Table1[[#This Row],[Fees in JOD]]*1.4085</f>
        <v>12.676500000000001</v>
      </c>
      <c r="F180" s="24"/>
      <c r="G180" s="28">
        <f>_xlfn.XLOOKUP(F180, Sheet2!C:C, Sheet2!D:D)</f>
        <v>0</v>
      </c>
      <c r="H180" s="29">
        <f>Table1[[#This Row],[Added Fees JOD]]*1.4085</f>
        <v>0</v>
      </c>
      <c r="I180" s="48">
        <f>Table1[[#This Row],[Fees in JOD]]+Table1[[#This Row],[Added Fees JOD]]</f>
        <v>9</v>
      </c>
      <c r="J180" s="49">
        <f>Table1[[#This Row],[Fees in USD]]+Table1[[#This Row],[Added Fees USD]]</f>
        <v>12.676500000000001</v>
      </c>
      <c r="K180" s="40"/>
      <c r="L180" s="37"/>
      <c r="M180" s="37"/>
      <c r="N180" s="37"/>
      <c r="O180" s="37"/>
    </row>
    <row r="181" spans="1:15" s="1" customFormat="1" ht="31.2" x14ac:dyDescent="0.6">
      <c r="A181" s="23" t="s">
        <v>148</v>
      </c>
      <c r="B181" s="23" t="s">
        <v>424</v>
      </c>
      <c r="C181" s="24">
        <v>5</v>
      </c>
      <c r="D181" s="25">
        <f>_xlfn.XLOOKUP(C181, Sheet2!A:A, Sheet2!B:B)</f>
        <v>9</v>
      </c>
      <c r="E181" s="26">
        <f>Table1[[#This Row],[Fees in JOD]]*1.4085</f>
        <v>12.676500000000001</v>
      </c>
      <c r="F181" s="24"/>
      <c r="G181" s="28">
        <f>_xlfn.XLOOKUP(F181, Sheet2!C:C, Sheet2!D:D)</f>
        <v>0</v>
      </c>
      <c r="H181" s="29">
        <f>Table1[[#This Row],[Added Fees JOD]]*1.4085</f>
        <v>0</v>
      </c>
      <c r="I181" s="48">
        <f>Table1[[#This Row],[Fees in JOD]]+Table1[[#This Row],[Added Fees JOD]]</f>
        <v>9</v>
      </c>
      <c r="J181" s="49">
        <f>Table1[[#This Row],[Fees in USD]]+Table1[[#This Row],[Added Fees USD]]</f>
        <v>12.676500000000001</v>
      </c>
      <c r="K181" s="40"/>
      <c r="L181" s="37"/>
      <c r="M181" s="37"/>
      <c r="N181" s="37"/>
      <c r="O181" s="37"/>
    </row>
    <row r="182" spans="1:15" s="1" customFormat="1" ht="31.2" x14ac:dyDescent="0.6">
      <c r="A182" s="23" t="s">
        <v>149</v>
      </c>
      <c r="B182" s="23" t="s">
        <v>425</v>
      </c>
      <c r="C182" s="24">
        <v>5</v>
      </c>
      <c r="D182" s="25">
        <f>_xlfn.XLOOKUP(C182, Sheet2!A:A, Sheet2!B:B)</f>
        <v>9</v>
      </c>
      <c r="E182" s="26">
        <f>Table1[[#This Row],[Fees in JOD]]*1.4085</f>
        <v>12.676500000000001</v>
      </c>
      <c r="F182" s="24"/>
      <c r="G182" s="28">
        <f>_xlfn.XLOOKUP(F182, Sheet2!C:C, Sheet2!D:D)</f>
        <v>0</v>
      </c>
      <c r="H182" s="29">
        <f>Table1[[#This Row],[Added Fees JOD]]*1.4085</f>
        <v>0</v>
      </c>
      <c r="I182" s="48">
        <f>Table1[[#This Row],[Fees in JOD]]+Table1[[#This Row],[Added Fees JOD]]</f>
        <v>9</v>
      </c>
      <c r="J182" s="49">
        <f>Table1[[#This Row],[Fees in USD]]+Table1[[#This Row],[Added Fees USD]]</f>
        <v>12.676500000000001</v>
      </c>
      <c r="K182" s="40"/>
      <c r="L182" s="37"/>
      <c r="M182" s="37"/>
      <c r="N182" s="37"/>
      <c r="O182" s="37"/>
    </row>
    <row r="183" spans="1:15" s="1" customFormat="1" ht="36" x14ac:dyDescent="0.6">
      <c r="A183" s="23" t="s">
        <v>150</v>
      </c>
      <c r="B183" s="23" t="s">
        <v>426</v>
      </c>
      <c r="C183" s="24">
        <v>5</v>
      </c>
      <c r="D183" s="25">
        <f>_xlfn.XLOOKUP(C183, Sheet2!A:A, Sheet2!B:B)</f>
        <v>9</v>
      </c>
      <c r="E183" s="26">
        <f>Table1[[#This Row],[Fees in JOD]]*1.4085</f>
        <v>12.676500000000001</v>
      </c>
      <c r="F183" s="24"/>
      <c r="G183" s="28">
        <f>_xlfn.XLOOKUP(F183, Sheet2!C:C, Sheet2!D:D)</f>
        <v>0</v>
      </c>
      <c r="H183" s="29">
        <f>Table1[[#This Row],[Added Fees JOD]]*1.4085</f>
        <v>0</v>
      </c>
      <c r="I183" s="48">
        <f>Table1[[#This Row],[Fees in JOD]]+Table1[[#This Row],[Added Fees JOD]]</f>
        <v>9</v>
      </c>
      <c r="J183" s="49">
        <f>Table1[[#This Row],[Fees in USD]]+Table1[[#This Row],[Added Fees USD]]</f>
        <v>12.676500000000001</v>
      </c>
      <c r="K183" s="40"/>
      <c r="L183" s="37"/>
      <c r="M183" s="37"/>
      <c r="N183" s="37"/>
      <c r="O183" s="37"/>
    </row>
    <row r="184" spans="1:15" s="1" customFormat="1" ht="31.2" x14ac:dyDescent="0.6">
      <c r="A184" s="23" t="s">
        <v>151</v>
      </c>
      <c r="B184" s="23" t="s">
        <v>427</v>
      </c>
      <c r="C184" s="24">
        <v>5</v>
      </c>
      <c r="D184" s="25">
        <f>_xlfn.XLOOKUP(C184, Sheet2!A:A, Sheet2!B:B)</f>
        <v>9</v>
      </c>
      <c r="E184" s="26">
        <f>Table1[[#This Row],[Fees in JOD]]*1.4085</f>
        <v>12.676500000000001</v>
      </c>
      <c r="F184" s="24"/>
      <c r="G184" s="28">
        <f>_xlfn.XLOOKUP(F184, Sheet2!C:C, Sheet2!D:D)</f>
        <v>0</v>
      </c>
      <c r="H184" s="29">
        <f>Table1[[#This Row],[Added Fees JOD]]*1.4085</f>
        <v>0</v>
      </c>
      <c r="I184" s="48">
        <f>Table1[[#This Row],[Fees in JOD]]+Table1[[#This Row],[Added Fees JOD]]</f>
        <v>9</v>
      </c>
      <c r="J184" s="49">
        <f>Table1[[#This Row],[Fees in USD]]+Table1[[#This Row],[Added Fees USD]]</f>
        <v>12.676500000000001</v>
      </c>
      <c r="K184" s="40"/>
      <c r="L184" s="37"/>
      <c r="M184" s="37"/>
      <c r="N184" s="37"/>
      <c r="O184" s="37"/>
    </row>
    <row r="185" spans="1:15" s="1" customFormat="1" ht="31.2" x14ac:dyDescent="0.6">
      <c r="A185" s="23" t="s">
        <v>152</v>
      </c>
      <c r="B185" s="23" t="s">
        <v>428</v>
      </c>
      <c r="C185" s="24">
        <v>5</v>
      </c>
      <c r="D185" s="25">
        <f>_xlfn.XLOOKUP(C185, Sheet2!A:A, Sheet2!B:B)</f>
        <v>9</v>
      </c>
      <c r="E185" s="26">
        <f>Table1[[#This Row],[Fees in JOD]]*1.4085</f>
        <v>12.676500000000001</v>
      </c>
      <c r="F185" s="24"/>
      <c r="G185" s="28">
        <f>_xlfn.XLOOKUP(F185, Sheet2!C:C, Sheet2!D:D)</f>
        <v>0</v>
      </c>
      <c r="H185" s="29">
        <f>Table1[[#This Row],[Added Fees JOD]]*1.4085</f>
        <v>0</v>
      </c>
      <c r="I185" s="48">
        <f>Table1[[#This Row],[Fees in JOD]]+Table1[[#This Row],[Added Fees JOD]]</f>
        <v>9</v>
      </c>
      <c r="J185" s="49">
        <f>Table1[[#This Row],[Fees in USD]]+Table1[[#This Row],[Added Fees USD]]</f>
        <v>12.676500000000001</v>
      </c>
      <c r="K185" s="40"/>
      <c r="L185" s="37"/>
      <c r="M185" s="37"/>
      <c r="N185" s="37"/>
      <c r="O185" s="37"/>
    </row>
    <row r="186" spans="1:15" s="1" customFormat="1" ht="31.2" x14ac:dyDescent="0.6">
      <c r="A186" s="23" t="s">
        <v>153</v>
      </c>
      <c r="B186" s="23" t="s">
        <v>429</v>
      </c>
      <c r="C186" s="24">
        <v>5</v>
      </c>
      <c r="D186" s="25">
        <f>_xlfn.XLOOKUP(C186, Sheet2!A:A, Sheet2!B:B)</f>
        <v>9</v>
      </c>
      <c r="E186" s="26">
        <f>Table1[[#This Row],[Fees in JOD]]*1.4085</f>
        <v>12.676500000000001</v>
      </c>
      <c r="F186" s="24"/>
      <c r="G186" s="28">
        <f>_xlfn.XLOOKUP(F186, Sheet2!C:C, Sheet2!D:D)</f>
        <v>0</v>
      </c>
      <c r="H186" s="29">
        <f>Table1[[#This Row],[Added Fees JOD]]*1.4085</f>
        <v>0</v>
      </c>
      <c r="I186" s="48">
        <f>Table1[[#This Row],[Fees in JOD]]+Table1[[#This Row],[Added Fees JOD]]</f>
        <v>9</v>
      </c>
      <c r="J186" s="49">
        <f>Table1[[#This Row],[Fees in USD]]+Table1[[#This Row],[Added Fees USD]]</f>
        <v>12.676500000000001</v>
      </c>
      <c r="K186" s="40"/>
      <c r="L186" s="37"/>
      <c r="M186" s="37"/>
      <c r="N186" s="37"/>
      <c r="O186" s="37"/>
    </row>
    <row r="187" spans="1:15" s="1" customFormat="1" ht="36" x14ac:dyDescent="0.6">
      <c r="A187" s="23" t="s">
        <v>154</v>
      </c>
      <c r="B187" s="23" t="s">
        <v>430</v>
      </c>
      <c r="C187" s="24">
        <v>5</v>
      </c>
      <c r="D187" s="25">
        <f>_xlfn.XLOOKUP(C187, Sheet2!A:A, Sheet2!B:B)</f>
        <v>9</v>
      </c>
      <c r="E187" s="26">
        <f>Table1[[#This Row],[Fees in JOD]]*1.4085</f>
        <v>12.676500000000001</v>
      </c>
      <c r="F187" s="24"/>
      <c r="G187" s="28">
        <f>_xlfn.XLOOKUP(F187, Sheet2!C:C, Sheet2!D:D)</f>
        <v>0</v>
      </c>
      <c r="H187" s="29">
        <f>Table1[[#This Row],[Added Fees JOD]]*1.4085</f>
        <v>0</v>
      </c>
      <c r="I187" s="48">
        <f>Table1[[#This Row],[Fees in JOD]]+Table1[[#This Row],[Added Fees JOD]]</f>
        <v>9</v>
      </c>
      <c r="J187" s="49">
        <f>Table1[[#This Row],[Fees in USD]]+Table1[[#This Row],[Added Fees USD]]</f>
        <v>12.676500000000001</v>
      </c>
      <c r="K187" s="40"/>
      <c r="L187" s="37"/>
      <c r="M187" s="37"/>
      <c r="N187" s="37"/>
      <c r="O187" s="37"/>
    </row>
    <row r="188" spans="1:15" s="1" customFormat="1" ht="36" x14ac:dyDescent="0.6">
      <c r="A188" s="23" t="s">
        <v>155</v>
      </c>
      <c r="B188" s="23" t="s">
        <v>431</v>
      </c>
      <c r="C188" s="24">
        <v>5</v>
      </c>
      <c r="D188" s="25">
        <f>_xlfn.XLOOKUP(C188, Sheet2!A:A, Sheet2!B:B)</f>
        <v>9</v>
      </c>
      <c r="E188" s="26">
        <f>Table1[[#This Row],[Fees in JOD]]*1.4085</f>
        <v>12.676500000000001</v>
      </c>
      <c r="F188" s="24"/>
      <c r="G188" s="28">
        <f>_xlfn.XLOOKUP(F188, Sheet2!C:C, Sheet2!D:D)</f>
        <v>0</v>
      </c>
      <c r="H188" s="29">
        <f>Table1[[#This Row],[Added Fees JOD]]*1.4085</f>
        <v>0</v>
      </c>
      <c r="I188" s="48">
        <f>Table1[[#This Row],[Fees in JOD]]+Table1[[#This Row],[Added Fees JOD]]</f>
        <v>9</v>
      </c>
      <c r="J188" s="49">
        <f>Table1[[#This Row],[Fees in USD]]+Table1[[#This Row],[Added Fees USD]]</f>
        <v>12.676500000000001</v>
      </c>
      <c r="K188" s="40"/>
      <c r="L188" s="37"/>
      <c r="M188" s="37"/>
      <c r="N188" s="37"/>
      <c r="O188" s="37"/>
    </row>
    <row r="189" spans="1:15" s="1" customFormat="1" ht="36" x14ac:dyDescent="0.6">
      <c r="A189" s="23" t="s">
        <v>156</v>
      </c>
      <c r="B189" s="23" t="s">
        <v>432</v>
      </c>
      <c r="C189" s="24">
        <v>5</v>
      </c>
      <c r="D189" s="25">
        <f>_xlfn.XLOOKUP(C189, Sheet2!A:A, Sheet2!B:B)</f>
        <v>9</v>
      </c>
      <c r="E189" s="26">
        <f>Table1[[#This Row],[Fees in JOD]]*1.4085</f>
        <v>12.676500000000001</v>
      </c>
      <c r="F189" s="24"/>
      <c r="G189" s="28">
        <f>_xlfn.XLOOKUP(F189, Sheet2!C:C, Sheet2!D:D)</f>
        <v>0</v>
      </c>
      <c r="H189" s="29">
        <f>Table1[[#This Row],[Added Fees JOD]]*1.4085</f>
        <v>0</v>
      </c>
      <c r="I189" s="48">
        <f>Table1[[#This Row],[Fees in JOD]]+Table1[[#This Row],[Added Fees JOD]]</f>
        <v>9</v>
      </c>
      <c r="J189" s="49">
        <f>Table1[[#This Row],[Fees in USD]]+Table1[[#This Row],[Added Fees USD]]</f>
        <v>12.676500000000001</v>
      </c>
      <c r="K189" s="40"/>
      <c r="L189" s="37"/>
      <c r="M189" s="37"/>
      <c r="N189" s="37"/>
      <c r="O189" s="37"/>
    </row>
    <row r="190" spans="1:15" s="1" customFormat="1" ht="31.2" x14ac:dyDescent="0.6">
      <c r="A190" s="23" t="s">
        <v>157</v>
      </c>
      <c r="B190" s="23" t="s">
        <v>433</v>
      </c>
      <c r="C190" s="24">
        <v>5</v>
      </c>
      <c r="D190" s="25">
        <f>_xlfn.XLOOKUP(C190, Sheet2!A:A, Sheet2!B:B)</f>
        <v>9</v>
      </c>
      <c r="E190" s="26">
        <f>Table1[[#This Row],[Fees in JOD]]*1.4085</f>
        <v>12.676500000000001</v>
      </c>
      <c r="F190" s="24"/>
      <c r="G190" s="28">
        <f>_xlfn.XLOOKUP(F190, Sheet2!C:C, Sheet2!D:D)</f>
        <v>0</v>
      </c>
      <c r="H190" s="29">
        <f>Table1[[#This Row],[Added Fees JOD]]*1.4085</f>
        <v>0</v>
      </c>
      <c r="I190" s="48">
        <f>Table1[[#This Row],[Fees in JOD]]+Table1[[#This Row],[Added Fees JOD]]</f>
        <v>9</v>
      </c>
      <c r="J190" s="49">
        <f>Table1[[#This Row],[Fees in USD]]+Table1[[#This Row],[Added Fees USD]]</f>
        <v>12.676500000000001</v>
      </c>
      <c r="K190" s="40"/>
      <c r="L190" s="37"/>
      <c r="M190" s="37"/>
      <c r="N190" s="37"/>
      <c r="O190" s="37"/>
    </row>
    <row r="191" spans="1:15" s="1" customFormat="1" ht="31.2" x14ac:dyDescent="0.6">
      <c r="A191" s="23" t="s">
        <v>158</v>
      </c>
      <c r="B191" s="23" t="s">
        <v>434</v>
      </c>
      <c r="C191" s="24">
        <v>5</v>
      </c>
      <c r="D191" s="25">
        <f>_xlfn.XLOOKUP(C191, Sheet2!A:A, Sheet2!B:B)</f>
        <v>9</v>
      </c>
      <c r="E191" s="26">
        <f>Table1[[#This Row],[Fees in JOD]]*1.4085</f>
        <v>12.676500000000001</v>
      </c>
      <c r="F191" s="24"/>
      <c r="G191" s="28">
        <f>_xlfn.XLOOKUP(F191, Sheet2!C:C, Sheet2!D:D)</f>
        <v>0</v>
      </c>
      <c r="H191" s="29">
        <f>Table1[[#This Row],[Added Fees JOD]]*1.4085</f>
        <v>0</v>
      </c>
      <c r="I191" s="48">
        <f>Table1[[#This Row],[Fees in JOD]]+Table1[[#This Row],[Added Fees JOD]]</f>
        <v>9</v>
      </c>
      <c r="J191" s="49">
        <f>Table1[[#This Row],[Fees in USD]]+Table1[[#This Row],[Added Fees USD]]</f>
        <v>12.676500000000001</v>
      </c>
      <c r="K191" s="40"/>
      <c r="L191" s="37"/>
      <c r="M191" s="37"/>
      <c r="N191" s="37"/>
      <c r="O191" s="37"/>
    </row>
    <row r="192" spans="1:15" s="1" customFormat="1" ht="36" x14ac:dyDescent="0.6">
      <c r="A192" s="23" t="s">
        <v>159</v>
      </c>
      <c r="B192" s="23" t="s">
        <v>435</v>
      </c>
      <c r="C192" s="24">
        <v>5</v>
      </c>
      <c r="D192" s="25">
        <f>_xlfn.XLOOKUP(C192, Sheet2!A:A, Sheet2!B:B)</f>
        <v>9</v>
      </c>
      <c r="E192" s="26">
        <f>Table1[[#This Row],[Fees in JOD]]*1.4085</f>
        <v>12.676500000000001</v>
      </c>
      <c r="F192" s="24"/>
      <c r="G192" s="28">
        <f>_xlfn.XLOOKUP(F192, Sheet2!C:C, Sheet2!D:D)</f>
        <v>0</v>
      </c>
      <c r="H192" s="29">
        <f>Table1[[#This Row],[Added Fees JOD]]*1.4085</f>
        <v>0</v>
      </c>
      <c r="I192" s="48">
        <f>Table1[[#This Row],[Fees in JOD]]+Table1[[#This Row],[Added Fees JOD]]</f>
        <v>9</v>
      </c>
      <c r="J192" s="49">
        <f>Table1[[#This Row],[Fees in USD]]+Table1[[#This Row],[Added Fees USD]]</f>
        <v>12.676500000000001</v>
      </c>
      <c r="K192" s="40"/>
      <c r="L192" s="37"/>
      <c r="M192" s="37"/>
      <c r="N192" s="37"/>
      <c r="O192" s="37"/>
    </row>
    <row r="193" spans="1:15" s="1" customFormat="1" ht="36" x14ac:dyDescent="0.6">
      <c r="A193" s="23" t="s">
        <v>161</v>
      </c>
      <c r="B193" s="23" t="s">
        <v>436</v>
      </c>
      <c r="C193" s="24">
        <v>5</v>
      </c>
      <c r="D193" s="25">
        <f>_xlfn.XLOOKUP(C193, Sheet2!A:A, Sheet2!B:B)</f>
        <v>9</v>
      </c>
      <c r="E193" s="26">
        <f>Table1[[#This Row],[Fees in JOD]]*1.4085</f>
        <v>12.676500000000001</v>
      </c>
      <c r="F193" s="24"/>
      <c r="G193" s="28">
        <f>_xlfn.XLOOKUP(F193, Sheet2!C:C, Sheet2!D:D)</f>
        <v>0</v>
      </c>
      <c r="H193" s="29">
        <f>Table1[[#This Row],[Added Fees JOD]]*1.4085</f>
        <v>0</v>
      </c>
      <c r="I193" s="48">
        <f>Table1[[#This Row],[Fees in JOD]]+Table1[[#This Row],[Added Fees JOD]]</f>
        <v>9</v>
      </c>
      <c r="J193" s="49">
        <f>Table1[[#This Row],[Fees in USD]]+Table1[[#This Row],[Added Fees USD]]</f>
        <v>12.676500000000001</v>
      </c>
      <c r="K193" s="40"/>
      <c r="L193" s="37"/>
      <c r="M193" s="37"/>
      <c r="N193" s="37"/>
      <c r="O193" s="37"/>
    </row>
    <row r="194" spans="1:15" s="1" customFormat="1" ht="31.2" x14ac:dyDescent="0.6">
      <c r="A194" s="23" t="s">
        <v>162</v>
      </c>
      <c r="B194" s="23" t="s">
        <v>437</v>
      </c>
      <c r="C194" s="24">
        <v>5</v>
      </c>
      <c r="D194" s="25">
        <f>_xlfn.XLOOKUP(C194, Sheet2!A:A, Sheet2!B:B)</f>
        <v>9</v>
      </c>
      <c r="E194" s="26">
        <f>Table1[[#This Row],[Fees in JOD]]*1.4085</f>
        <v>12.676500000000001</v>
      </c>
      <c r="F194" s="24"/>
      <c r="G194" s="28">
        <f>_xlfn.XLOOKUP(F194, Sheet2!C:C, Sheet2!D:D)</f>
        <v>0</v>
      </c>
      <c r="H194" s="29">
        <f>Table1[[#This Row],[Added Fees JOD]]*1.4085</f>
        <v>0</v>
      </c>
      <c r="I194" s="48">
        <f>Table1[[#This Row],[Fees in JOD]]+Table1[[#This Row],[Added Fees JOD]]</f>
        <v>9</v>
      </c>
      <c r="J194" s="49">
        <f>Table1[[#This Row],[Fees in USD]]+Table1[[#This Row],[Added Fees USD]]</f>
        <v>12.676500000000001</v>
      </c>
      <c r="K194" s="40"/>
      <c r="L194" s="37"/>
      <c r="M194" s="37"/>
      <c r="N194" s="37"/>
      <c r="O194" s="37"/>
    </row>
    <row r="195" spans="1:15" s="1" customFormat="1" ht="31.2" x14ac:dyDescent="0.6">
      <c r="A195" s="23" t="s">
        <v>163</v>
      </c>
      <c r="B195" s="23" t="s">
        <v>438</v>
      </c>
      <c r="C195" s="24">
        <v>5</v>
      </c>
      <c r="D195" s="25">
        <f>_xlfn.XLOOKUP(C195, Sheet2!A:A, Sheet2!B:B)</f>
        <v>9</v>
      </c>
      <c r="E195" s="26">
        <f>Table1[[#This Row],[Fees in JOD]]*1.4085</f>
        <v>12.676500000000001</v>
      </c>
      <c r="F195" s="24"/>
      <c r="G195" s="28">
        <f>_xlfn.XLOOKUP(F195, Sheet2!C:C, Sheet2!D:D)</f>
        <v>0</v>
      </c>
      <c r="H195" s="29">
        <f>Table1[[#This Row],[Added Fees JOD]]*1.4085</f>
        <v>0</v>
      </c>
      <c r="I195" s="48">
        <f>Table1[[#This Row],[Fees in JOD]]+Table1[[#This Row],[Added Fees JOD]]</f>
        <v>9</v>
      </c>
      <c r="J195" s="49">
        <f>Table1[[#This Row],[Fees in USD]]+Table1[[#This Row],[Added Fees USD]]</f>
        <v>12.676500000000001</v>
      </c>
      <c r="K195" s="40"/>
      <c r="L195" s="37"/>
      <c r="M195" s="37"/>
      <c r="N195" s="37"/>
      <c r="O195" s="37"/>
    </row>
    <row r="196" spans="1:15" s="1" customFormat="1" ht="31.2" x14ac:dyDescent="0.6">
      <c r="A196" s="23" t="s">
        <v>164</v>
      </c>
      <c r="B196" s="23" t="s">
        <v>439</v>
      </c>
      <c r="C196" s="24">
        <v>5</v>
      </c>
      <c r="D196" s="25">
        <f>_xlfn.XLOOKUP(C196, Sheet2!A:A, Sheet2!B:B)</f>
        <v>9</v>
      </c>
      <c r="E196" s="26">
        <f>Table1[[#This Row],[Fees in JOD]]*1.4085</f>
        <v>12.676500000000001</v>
      </c>
      <c r="F196" s="24"/>
      <c r="G196" s="28">
        <f>_xlfn.XLOOKUP(F196, Sheet2!C:C, Sheet2!D:D)</f>
        <v>0</v>
      </c>
      <c r="H196" s="29">
        <f>Table1[[#This Row],[Added Fees JOD]]*1.4085</f>
        <v>0</v>
      </c>
      <c r="I196" s="48">
        <f>Table1[[#This Row],[Fees in JOD]]+Table1[[#This Row],[Added Fees JOD]]</f>
        <v>9</v>
      </c>
      <c r="J196" s="49">
        <f>Table1[[#This Row],[Fees in USD]]+Table1[[#This Row],[Added Fees USD]]</f>
        <v>12.676500000000001</v>
      </c>
      <c r="K196" s="40"/>
      <c r="L196" s="37"/>
      <c r="M196" s="37"/>
      <c r="N196" s="37"/>
      <c r="O196" s="37"/>
    </row>
    <row r="197" spans="1:15" s="1" customFormat="1" ht="36" x14ac:dyDescent="0.6">
      <c r="A197" s="23" t="s">
        <v>166</v>
      </c>
      <c r="B197" s="23" t="s">
        <v>440</v>
      </c>
      <c r="C197" s="24">
        <v>5</v>
      </c>
      <c r="D197" s="25">
        <f>_xlfn.XLOOKUP(C197, Sheet2!A:A, Sheet2!B:B)</f>
        <v>9</v>
      </c>
      <c r="E197" s="26">
        <f>Table1[[#This Row],[Fees in JOD]]*1.4085</f>
        <v>12.676500000000001</v>
      </c>
      <c r="F197" s="24"/>
      <c r="G197" s="28">
        <f>_xlfn.XLOOKUP(F197, Sheet2!C:C, Sheet2!D:D)</f>
        <v>0</v>
      </c>
      <c r="H197" s="29">
        <f>Table1[[#This Row],[Added Fees JOD]]*1.4085</f>
        <v>0</v>
      </c>
      <c r="I197" s="48">
        <f>Table1[[#This Row],[Fees in JOD]]+Table1[[#This Row],[Added Fees JOD]]</f>
        <v>9</v>
      </c>
      <c r="J197" s="49">
        <f>Table1[[#This Row],[Fees in USD]]+Table1[[#This Row],[Added Fees USD]]</f>
        <v>12.676500000000001</v>
      </c>
      <c r="K197" s="40"/>
      <c r="L197" s="37"/>
      <c r="M197" s="37"/>
      <c r="N197" s="37"/>
      <c r="O197" s="37"/>
    </row>
    <row r="198" spans="1:15" s="1" customFormat="1" ht="31.2" x14ac:dyDescent="0.6">
      <c r="A198" s="23" t="s">
        <v>168</v>
      </c>
      <c r="B198" s="23" t="s">
        <v>441</v>
      </c>
      <c r="C198" s="24">
        <v>5</v>
      </c>
      <c r="D198" s="25">
        <f>_xlfn.XLOOKUP(C198, Sheet2!A:A, Sheet2!B:B)</f>
        <v>9</v>
      </c>
      <c r="E198" s="26">
        <f>Table1[[#This Row],[Fees in JOD]]*1.4085</f>
        <v>12.676500000000001</v>
      </c>
      <c r="F198" s="24"/>
      <c r="G198" s="28">
        <f>_xlfn.XLOOKUP(F198, Sheet2!C:C, Sheet2!D:D)</f>
        <v>0</v>
      </c>
      <c r="H198" s="29">
        <f>Table1[[#This Row],[Added Fees JOD]]*1.4085</f>
        <v>0</v>
      </c>
      <c r="I198" s="48">
        <f>Table1[[#This Row],[Fees in JOD]]+Table1[[#This Row],[Added Fees JOD]]</f>
        <v>9</v>
      </c>
      <c r="J198" s="49">
        <f>Table1[[#This Row],[Fees in USD]]+Table1[[#This Row],[Added Fees USD]]</f>
        <v>12.676500000000001</v>
      </c>
      <c r="K198" s="40"/>
      <c r="L198" s="37"/>
      <c r="M198" s="37"/>
      <c r="N198" s="37"/>
      <c r="O198" s="37"/>
    </row>
    <row r="199" spans="1:15" s="1" customFormat="1" ht="31.2" x14ac:dyDescent="0.6">
      <c r="A199" s="23" t="s">
        <v>170</v>
      </c>
      <c r="B199" s="23" t="s">
        <v>442</v>
      </c>
      <c r="C199" s="24">
        <v>5</v>
      </c>
      <c r="D199" s="25">
        <f>_xlfn.XLOOKUP(C199, Sheet2!A:A, Sheet2!B:B)</f>
        <v>9</v>
      </c>
      <c r="E199" s="26">
        <f>Table1[[#This Row],[Fees in JOD]]*1.4085</f>
        <v>12.676500000000001</v>
      </c>
      <c r="F199" s="24"/>
      <c r="G199" s="28">
        <f>_xlfn.XLOOKUP(F199, Sheet2!C:C, Sheet2!D:D)</f>
        <v>0</v>
      </c>
      <c r="H199" s="29">
        <f>Table1[[#This Row],[Added Fees JOD]]*1.4085</f>
        <v>0</v>
      </c>
      <c r="I199" s="48">
        <f>Table1[[#This Row],[Fees in JOD]]+Table1[[#This Row],[Added Fees JOD]]</f>
        <v>9</v>
      </c>
      <c r="J199" s="49">
        <f>Table1[[#This Row],[Fees in USD]]+Table1[[#This Row],[Added Fees USD]]</f>
        <v>12.676500000000001</v>
      </c>
      <c r="K199" s="40"/>
      <c r="L199" s="37"/>
      <c r="M199" s="37"/>
      <c r="N199" s="37"/>
      <c r="O199" s="37"/>
    </row>
    <row r="200" spans="1:15" s="1" customFormat="1" ht="31.2" x14ac:dyDescent="0.6">
      <c r="A200" s="23" t="s">
        <v>171</v>
      </c>
      <c r="B200" s="23" t="s">
        <v>443</v>
      </c>
      <c r="C200" s="24">
        <v>5</v>
      </c>
      <c r="D200" s="25">
        <f>_xlfn.XLOOKUP(C200, Sheet2!A:A, Sheet2!B:B)</f>
        <v>9</v>
      </c>
      <c r="E200" s="26">
        <f>Table1[[#This Row],[Fees in JOD]]*1.4085</f>
        <v>12.676500000000001</v>
      </c>
      <c r="F200" s="24"/>
      <c r="G200" s="28">
        <f>_xlfn.XLOOKUP(F200, Sheet2!C:C, Sheet2!D:D)</f>
        <v>0</v>
      </c>
      <c r="H200" s="29">
        <f>Table1[[#This Row],[Added Fees JOD]]*1.4085</f>
        <v>0</v>
      </c>
      <c r="I200" s="48">
        <f>Table1[[#This Row],[Fees in JOD]]+Table1[[#This Row],[Added Fees JOD]]</f>
        <v>9</v>
      </c>
      <c r="J200" s="49">
        <f>Table1[[#This Row],[Fees in USD]]+Table1[[#This Row],[Added Fees USD]]</f>
        <v>12.676500000000001</v>
      </c>
      <c r="K200" s="40"/>
      <c r="L200" s="37"/>
      <c r="M200" s="37"/>
      <c r="N200" s="37"/>
      <c r="O200" s="37"/>
    </row>
    <row r="201" spans="1:15" s="1" customFormat="1" ht="31.2" x14ac:dyDescent="0.6">
      <c r="A201" s="23" t="s">
        <v>172</v>
      </c>
      <c r="B201" s="23" t="s">
        <v>444</v>
      </c>
      <c r="C201" s="24">
        <v>5</v>
      </c>
      <c r="D201" s="25">
        <f>_xlfn.XLOOKUP(C201, Sheet2!A:A, Sheet2!B:B)</f>
        <v>9</v>
      </c>
      <c r="E201" s="26">
        <f>Table1[[#This Row],[Fees in JOD]]*1.4085</f>
        <v>12.676500000000001</v>
      </c>
      <c r="F201" s="24"/>
      <c r="G201" s="28">
        <f>_xlfn.XLOOKUP(F201, Sheet2!C:C, Sheet2!D:D)</f>
        <v>0</v>
      </c>
      <c r="H201" s="29">
        <f>Table1[[#This Row],[Added Fees JOD]]*1.4085</f>
        <v>0</v>
      </c>
      <c r="I201" s="48">
        <f>Table1[[#This Row],[Fees in JOD]]+Table1[[#This Row],[Added Fees JOD]]</f>
        <v>9</v>
      </c>
      <c r="J201" s="49">
        <f>Table1[[#This Row],[Fees in USD]]+Table1[[#This Row],[Added Fees USD]]</f>
        <v>12.676500000000001</v>
      </c>
      <c r="K201" s="40"/>
      <c r="L201" s="37"/>
      <c r="M201" s="37"/>
      <c r="N201" s="37"/>
      <c r="O201" s="37"/>
    </row>
    <row r="202" spans="1:15" s="1" customFormat="1" ht="31.2" x14ac:dyDescent="0.6">
      <c r="A202" s="23" t="s">
        <v>174</v>
      </c>
      <c r="B202" s="23" t="s">
        <v>445</v>
      </c>
      <c r="C202" s="24">
        <v>5</v>
      </c>
      <c r="D202" s="25">
        <f>_xlfn.XLOOKUP(C202, Sheet2!A:A, Sheet2!B:B)</f>
        <v>9</v>
      </c>
      <c r="E202" s="26">
        <f>Table1[[#This Row],[Fees in JOD]]*1.4085</f>
        <v>12.676500000000001</v>
      </c>
      <c r="F202" s="24"/>
      <c r="G202" s="28">
        <f>_xlfn.XLOOKUP(F202, Sheet2!C:C, Sheet2!D:D)</f>
        <v>0</v>
      </c>
      <c r="H202" s="29">
        <f>Table1[[#This Row],[Added Fees JOD]]*1.4085</f>
        <v>0</v>
      </c>
      <c r="I202" s="48">
        <f>Table1[[#This Row],[Fees in JOD]]+Table1[[#This Row],[Added Fees JOD]]</f>
        <v>9</v>
      </c>
      <c r="J202" s="49">
        <f>Table1[[#This Row],[Fees in USD]]+Table1[[#This Row],[Added Fees USD]]</f>
        <v>12.676500000000001</v>
      </c>
      <c r="K202" s="40"/>
      <c r="L202" s="37"/>
      <c r="M202" s="37"/>
      <c r="N202" s="37"/>
      <c r="O202" s="37"/>
    </row>
    <row r="203" spans="1:15" s="1" customFormat="1" ht="31.2" x14ac:dyDescent="0.6">
      <c r="A203" s="23" t="s">
        <v>175</v>
      </c>
      <c r="B203" s="23" t="s">
        <v>446</v>
      </c>
      <c r="C203" s="24">
        <v>5</v>
      </c>
      <c r="D203" s="25">
        <f>_xlfn.XLOOKUP(C203, Sheet2!A:A, Sheet2!B:B)</f>
        <v>9</v>
      </c>
      <c r="E203" s="26">
        <f>Table1[[#This Row],[Fees in JOD]]*1.4085</f>
        <v>12.676500000000001</v>
      </c>
      <c r="F203" s="24"/>
      <c r="G203" s="28">
        <f>_xlfn.XLOOKUP(F203, Sheet2!C:C, Sheet2!D:D)</f>
        <v>0</v>
      </c>
      <c r="H203" s="29">
        <f>Table1[[#This Row],[Added Fees JOD]]*1.4085</f>
        <v>0</v>
      </c>
      <c r="I203" s="48">
        <f>Table1[[#This Row],[Fees in JOD]]+Table1[[#This Row],[Added Fees JOD]]</f>
        <v>9</v>
      </c>
      <c r="J203" s="49">
        <f>Table1[[#This Row],[Fees in USD]]+Table1[[#This Row],[Added Fees USD]]</f>
        <v>12.676500000000001</v>
      </c>
      <c r="K203" s="40"/>
      <c r="L203" s="37"/>
      <c r="M203" s="37"/>
      <c r="N203" s="37"/>
      <c r="O203" s="37"/>
    </row>
    <row r="204" spans="1:15" s="1" customFormat="1" ht="31.2" x14ac:dyDescent="0.6">
      <c r="A204" s="23" t="s">
        <v>176</v>
      </c>
      <c r="B204" s="23" t="s">
        <v>447</v>
      </c>
      <c r="C204" s="24">
        <v>5</v>
      </c>
      <c r="D204" s="25">
        <f>_xlfn.XLOOKUP(C204, Sheet2!A:A, Sheet2!B:B)</f>
        <v>9</v>
      </c>
      <c r="E204" s="26">
        <f>Table1[[#This Row],[Fees in JOD]]*1.4085</f>
        <v>12.676500000000001</v>
      </c>
      <c r="F204" s="24"/>
      <c r="G204" s="28">
        <f>_xlfn.XLOOKUP(F204, Sheet2!C:C, Sheet2!D:D)</f>
        <v>0</v>
      </c>
      <c r="H204" s="29">
        <f>Table1[[#This Row],[Added Fees JOD]]*1.4085</f>
        <v>0</v>
      </c>
      <c r="I204" s="48">
        <f>Table1[[#This Row],[Fees in JOD]]+Table1[[#This Row],[Added Fees JOD]]</f>
        <v>9</v>
      </c>
      <c r="J204" s="49">
        <f>Table1[[#This Row],[Fees in USD]]+Table1[[#This Row],[Added Fees USD]]</f>
        <v>12.676500000000001</v>
      </c>
      <c r="K204" s="40"/>
      <c r="L204" s="37"/>
      <c r="M204" s="37"/>
      <c r="N204" s="37"/>
      <c r="O204" s="37"/>
    </row>
    <row r="205" spans="1:15" s="1" customFormat="1" ht="31.2" x14ac:dyDescent="0.6">
      <c r="A205" s="23" t="s">
        <v>177</v>
      </c>
      <c r="B205" s="23" t="s">
        <v>448</v>
      </c>
      <c r="C205" s="24">
        <v>5</v>
      </c>
      <c r="D205" s="25">
        <f>_xlfn.XLOOKUP(C205, Sheet2!A:A, Sheet2!B:B)</f>
        <v>9</v>
      </c>
      <c r="E205" s="26">
        <f>Table1[[#This Row],[Fees in JOD]]*1.4085</f>
        <v>12.676500000000001</v>
      </c>
      <c r="F205" s="24"/>
      <c r="G205" s="28">
        <f>_xlfn.XLOOKUP(F205, Sheet2!C:C, Sheet2!D:D)</f>
        <v>0</v>
      </c>
      <c r="H205" s="29">
        <f>Table1[[#This Row],[Added Fees JOD]]*1.4085</f>
        <v>0</v>
      </c>
      <c r="I205" s="48">
        <f>Table1[[#This Row],[Fees in JOD]]+Table1[[#This Row],[Added Fees JOD]]</f>
        <v>9</v>
      </c>
      <c r="J205" s="49">
        <f>Table1[[#This Row],[Fees in USD]]+Table1[[#This Row],[Added Fees USD]]</f>
        <v>12.676500000000001</v>
      </c>
      <c r="K205" s="40"/>
      <c r="L205" s="37"/>
      <c r="M205" s="37"/>
      <c r="N205" s="37"/>
      <c r="O205" s="37"/>
    </row>
    <row r="206" spans="1:15" s="1" customFormat="1" ht="31.2" x14ac:dyDescent="0.6">
      <c r="A206" s="23" t="s">
        <v>178</v>
      </c>
      <c r="B206" s="23" t="s">
        <v>449</v>
      </c>
      <c r="C206" s="24">
        <v>5</v>
      </c>
      <c r="D206" s="25">
        <f>_xlfn.XLOOKUP(C206, Sheet2!A:A, Sheet2!B:B)</f>
        <v>9</v>
      </c>
      <c r="E206" s="26">
        <f>Table1[[#This Row],[Fees in JOD]]*1.4085</f>
        <v>12.676500000000001</v>
      </c>
      <c r="F206" s="24"/>
      <c r="G206" s="28">
        <f>_xlfn.XLOOKUP(F206, Sheet2!C:C, Sheet2!D:D)</f>
        <v>0</v>
      </c>
      <c r="H206" s="29">
        <f>Table1[[#This Row],[Added Fees JOD]]*1.4085</f>
        <v>0</v>
      </c>
      <c r="I206" s="48">
        <f>Table1[[#This Row],[Fees in JOD]]+Table1[[#This Row],[Added Fees JOD]]</f>
        <v>9</v>
      </c>
      <c r="J206" s="49">
        <f>Table1[[#This Row],[Fees in USD]]+Table1[[#This Row],[Added Fees USD]]</f>
        <v>12.676500000000001</v>
      </c>
      <c r="K206" s="40"/>
      <c r="L206" s="37"/>
      <c r="M206" s="37"/>
      <c r="N206" s="37"/>
      <c r="O206" s="37"/>
    </row>
    <row r="207" spans="1:15" s="1" customFormat="1" ht="31.2" x14ac:dyDescent="0.6">
      <c r="A207" s="23" t="s">
        <v>179</v>
      </c>
      <c r="B207" s="23" t="s">
        <v>450</v>
      </c>
      <c r="C207" s="24">
        <v>5</v>
      </c>
      <c r="D207" s="25">
        <f>_xlfn.XLOOKUP(C207, Sheet2!A:A, Sheet2!B:B)</f>
        <v>9</v>
      </c>
      <c r="E207" s="26">
        <f>Table1[[#This Row],[Fees in JOD]]*1.4085</f>
        <v>12.676500000000001</v>
      </c>
      <c r="F207" s="24"/>
      <c r="G207" s="28">
        <f>_xlfn.XLOOKUP(F207, Sheet2!C:C, Sheet2!D:D)</f>
        <v>0</v>
      </c>
      <c r="H207" s="29">
        <f>Table1[[#This Row],[Added Fees JOD]]*1.4085</f>
        <v>0</v>
      </c>
      <c r="I207" s="48">
        <f>Table1[[#This Row],[Fees in JOD]]+Table1[[#This Row],[Added Fees JOD]]</f>
        <v>9</v>
      </c>
      <c r="J207" s="49">
        <f>Table1[[#This Row],[Fees in USD]]+Table1[[#This Row],[Added Fees USD]]</f>
        <v>12.676500000000001</v>
      </c>
      <c r="K207" s="40"/>
      <c r="L207" s="37"/>
      <c r="M207" s="37"/>
      <c r="N207" s="37"/>
      <c r="O207" s="37"/>
    </row>
    <row r="208" spans="1:15" s="1" customFormat="1" ht="31.2" x14ac:dyDescent="0.6">
      <c r="A208" s="23" t="s">
        <v>182</v>
      </c>
      <c r="B208" s="23" t="s">
        <v>451</v>
      </c>
      <c r="C208" s="24">
        <v>5</v>
      </c>
      <c r="D208" s="25">
        <f>_xlfn.XLOOKUP(C208, Sheet2!A:A, Sheet2!B:B)</f>
        <v>9</v>
      </c>
      <c r="E208" s="26">
        <f>Table1[[#This Row],[Fees in JOD]]*1.4085</f>
        <v>12.676500000000001</v>
      </c>
      <c r="F208" s="24"/>
      <c r="G208" s="28">
        <f>_xlfn.XLOOKUP(F208, Sheet2!C:C, Sheet2!D:D)</f>
        <v>0</v>
      </c>
      <c r="H208" s="29">
        <f>Table1[[#This Row],[Added Fees JOD]]*1.4085</f>
        <v>0</v>
      </c>
      <c r="I208" s="48">
        <f>Table1[[#This Row],[Fees in JOD]]+Table1[[#This Row],[Added Fees JOD]]</f>
        <v>9</v>
      </c>
      <c r="J208" s="49">
        <f>Table1[[#This Row],[Fees in USD]]+Table1[[#This Row],[Added Fees USD]]</f>
        <v>12.676500000000001</v>
      </c>
      <c r="K208" s="40"/>
      <c r="L208" s="37"/>
      <c r="M208" s="37"/>
      <c r="N208" s="37"/>
      <c r="O208" s="37"/>
    </row>
    <row r="209" spans="1:15" s="1" customFormat="1" ht="31.2" x14ac:dyDescent="0.6">
      <c r="A209" s="23" t="s">
        <v>184</v>
      </c>
      <c r="B209" s="23" t="s">
        <v>452</v>
      </c>
      <c r="C209" s="24">
        <v>5</v>
      </c>
      <c r="D209" s="25">
        <f>_xlfn.XLOOKUP(C209, Sheet2!A:A, Sheet2!B:B)</f>
        <v>9</v>
      </c>
      <c r="E209" s="26">
        <f>Table1[[#This Row],[Fees in JOD]]*1.4085</f>
        <v>12.676500000000001</v>
      </c>
      <c r="F209" s="24"/>
      <c r="G209" s="28">
        <f>_xlfn.XLOOKUP(F209, Sheet2!C:C, Sheet2!D:D)</f>
        <v>0</v>
      </c>
      <c r="H209" s="29">
        <f>Table1[[#This Row],[Added Fees JOD]]*1.4085</f>
        <v>0</v>
      </c>
      <c r="I209" s="48">
        <f>Table1[[#This Row],[Fees in JOD]]+Table1[[#This Row],[Added Fees JOD]]</f>
        <v>9</v>
      </c>
      <c r="J209" s="49">
        <f>Table1[[#This Row],[Fees in USD]]+Table1[[#This Row],[Added Fees USD]]</f>
        <v>12.676500000000001</v>
      </c>
      <c r="K209" s="40"/>
      <c r="L209" s="37"/>
      <c r="M209" s="37"/>
      <c r="N209" s="37"/>
      <c r="O209" s="37"/>
    </row>
    <row r="210" spans="1:15" s="1" customFormat="1" ht="31.2" x14ac:dyDescent="0.6">
      <c r="A210" s="23" t="s">
        <v>185</v>
      </c>
      <c r="B210" s="23" t="s">
        <v>453</v>
      </c>
      <c r="C210" s="24">
        <v>5</v>
      </c>
      <c r="D210" s="25">
        <f>_xlfn.XLOOKUP(C210, Sheet2!A:A, Sheet2!B:B)</f>
        <v>9</v>
      </c>
      <c r="E210" s="26">
        <f>Table1[[#This Row],[Fees in JOD]]*1.4085</f>
        <v>12.676500000000001</v>
      </c>
      <c r="F210" s="24"/>
      <c r="G210" s="28">
        <f>_xlfn.XLOOKUP(F210, Sheet2!C:C, Sheet2!D:D)</f>
        <v>0</v>
      </c>
      <c r="H210" s="29">
        <f>Table1[[#This Row],[Added Fees JOD]]*1.4085</f>
        <v>0</v>
      </c>
      <c r="I210" s="48">
        <f>Table1[[#This Row],[Fees in JOD]]+Table1[[#This Row],[Added Fees JOD]]</f>
        <v>9</v>
      </c>
      <c r="J210" s="49">
        <f>Table1[[#This Row],[Fees in USD]]+Table1[[#This Row],[Added Fees USD]]</f>
        <v>12.676500000000001</v>
      </c>
      <c r="K210" s="40"/>
      <c r="L210" s="37"/>
      <c r="M210" s="37"/>
      <c r="N210" s="37"/>
      <c r="O210" s="37"/>
    </row>
    <row r="211" spans="1:15" s="1" customFormat="1" ht="31.2" x14ac:dyDescent="0.6">
      <c r="A211" s="23" t="s">
        <v>186</v>
      </c>
      <c r="B211" s="23" t="s">
        <v>454</v>
      </c>
      <c r="C211" s="24">
        <v>5</v>
      </c>
      <c r="D211" s="25">
        <f>_xlfn.XLOOKUP(C211, Sheet2!A:A, Sheet2!B:B)</f>
        <v>9</v>
      </c>
      <c r="E211" s="26">
        <f>Table1[[#This Row],[Fees in JOD]]*1.4085</f>
        <v>12.676500000000001</v>
      </c>
      <c r="F211" s="24"/>
      <c r="G211" s="28">
        <f>_xlfn.XLOOKUP(F211, Sheet2!C:C, Sheet2!D:D)</f>
        <v>0</v>
      </c>
      <c r="H211" s="29">
        <f>Table1[[#This Row],[Added Fees JOD]]*1.4085</f>
        <v>0</v>
      </c>
      <c r="I211" s="48">
        <f>Table1[[#This Row],[Fees in JOD]]+Table1[[#This Row],[Added Fees JOD]]</f>
        <v>9</v>
      </c>
      <c r="J211" s="49">
        <f>Table1[[#This Row],[Fees in USD]]+Table1[[#This Row],[Added Fees USD]]</f>
        <v>12.676500000000001</v>
      </c>
      <c r="K211" s="40"/>
      <c r="L211" s="37"/>
      <c r="M211" s="37"/>
      <c r="N211" s="37"/>
      <c r="O211" s="37"/>
    </row>
    <row r="212" spans="1:15" s="1" customFormat="1" ht="31.2" x14ac:dyDescent="0.6">
      <c r="A212" s="23" t="s">
        <v>188</v>
      </c>
      <c r="B212" s="23" t="s">
        <v>455</v>
      </c>
      <c r="C212" s="24">
        <v>5</v>
      </c>
      <c r="D212" s="25">
        <f>_xlfn.XLOOKUP(C212, Sheet2!A:A, Sheet2!B:B)</f>
        <v>9</v>
      </c>
      <c r="E212" s="26">
        <f>Table1[[#This Row],[Fees in JOD]]*1.4085</f>
        <v>12.676500000000001</v>
      </c>
      <c r="F212" s="24"/>
      <c r="G212" s="28">
        <f>_xlfn.XLOOKUP(F212, Sheet2!C:C, Sheet2!D:D)</f>
        <v>0</v>
      </c>
      <c r="H212" s="29">
        <f>Table1[[#This Row],[Added Fees JOD]]*1.4085</f>
        <v>0</v>
      </c>
      <c r="I212" s="48">
        <f>Table1[[#This Row],[Fees in JOD]]+Table1[[#This Row],[Added Fees JOD]]</f>
        <v>9</v>
      </c>
      <c r="J212" s="49">
        <f>Table1[[#This Row],[Fees in USD]]+Table1[[#This Row],[Added Fees USD]]</f>
        <v>12.676500000000001</v>
      </c>
      <c r="K212" s="40"/>
      <c r="L212" s="37"/>
      <c r="M212" s="37"/>
      <c r="N212" s="37"/>
      <c r="O212" s="37"/>
    </row>
    <row r="213" spans="1:15" s="1" customFormat="1" ht="31.2" x14ac:dyDescent="0.6">
      <c r="A213" s="23" t="s">
        <v>191</v>
      </c>
      <c r="B213" s="23" t="s">
        <v>456</v>
      </c>
      <c r="C213" s="24">
        <v>5</v>
      </c>
      <c r="D213" s="25">
        <f>_xlfn.XLOOKUP(C213, Sheet2!A:A, Sheet2!B:B)</f>
        <v>9</v>
      </c>
      <c r="E213" s="26">
        <f>Table1[[#This Row],[Fees in JOD]]*1.4085</f>
        <v>12.676500000000001</v>
      </c>
      <c r="F213" s="24"/>
      <c r="G213" s="28">
        <f>_xlfn.XLOOKUP(F213, Sheet2!C:C, Sheet2!D:D)</f>
        <v>0</v>
      </c>
      <c r="H213" s="29">
        <f>Table1[[#This Row],[Added Fees JOD]]*1.4085</f>
        <v>0</v>
      </c>
      <c r="I213" s="48">
        <f>Table1[[#This Row],[Fees in JOD]]+Table1[[#This Row],[Added Fees JOD]]</f>
        <v>9</v>
      </c>
      <c r="J213" s="49">
        <f>Table1[[#This Row],[Fees in USD]]+Table1[[#This Row],[Added Fees USD]]</f>
        <v>12.676500000000001</v>
      </c>
      <c r="K213" s="40"/>
      <c r="L213" s="37"/>
      <c r="M213" s="37"/>
      <c r="N213" s="37"/>
      <c r="O213" s="37"/>
    </row>
    <row r="214" spans="1:15" s="1" customFormat="1" ht="31.2" x14ac:dyDescent="0.6">
      <c r="A214" s="23" t="s">
        <v>192</v>
      </c>
      <c r="B214" s="23" t="s">
        <v>457</v>
      </c>
      <c r="C214" s="24">
        <v>5</v>
      </c>
      <c r="D214" s="25">
        <f>_xlfn.XLOOKUP(C214, Sheet2!A:A, Sheet2!B:B)</f>
        <v>9</v>
      </c>
      <c r="E214" s="26">
        <f>Table1[[#This Row],[Fees in JOD]]*1.4085</f>
        <v>12.676500000000001</v>
      </c>
      <c r="F214" s="24"/>
      <c r="G214" s="28">
        <f>_xlfn.XLOOKUP(F214, Sheet2!C:C, Sheet2!D:D)</f>
        <v>0</v>
      </c>
      <c r="H214" s="29">
        <f>Table1[[#This Row],[Added Fees JOD]]*1.4085</f>
        <v>0</v>
      </c>
      <c r="I214" s="48">
        <f>Table1[[#This Row],[Fees in JOD]]+Table1[[#This Row],[Added Fees JOD]]</f>
        <v>9</v>
      </c>
      <c r="J214" s="49">
        <f>Table1[[#This Row],[Fees in USD]]+Table1[[#This Row],[Added Fees USD]]</f>
        <v>12.676500000000001</v>
      </c>
      <c r="K214" s="40"/>
      <c r="L214" s="37"/>
      <c r="M214" s="37"/>
      <c r="N214" s="37"/>
      <c r="O214" s="37"/>
    </row>
    <row r="215" spans="1:15" s="1" customFormat="1" ht="31.2" x14ac:dyDescent="0.6">
      <c r="A215" s="23" t="s">
        <v>193</v>
      </c>
      <c r="B215" s="23" t="s">
        <v>458</v>
      </c>
      <c r="C215" s="24">
        <v>5</v>
      </c>
      <c r="D215" s="25">
        <f>_xlfn.XLOOKUP(C215, Sheet2!A:A, Sheet2!B:B)</f>
        <v>9</v>
      </c>
      <c r="E215" s="26">
        <f>Table1[[#This Row],[Fees in JOD]]*1.4085</f>
        <v>12.676500000000001</v>
      </c>
      <c r="F215" s="24"/>
      <c r="G215" s="28">
        <f>_xlfn.XLOOKUP(F215, Sheet2!C:C, Sheet2!D:D)</f>
        <v>0</v>
      </c>
      <c r="H215" s="29">
        <f>Table1[[#This Row],[Added Fees JOD]]*1.4085</f>
        <v>0</v>
      </c>
      <c r="I215" s="48">
        <f>Table1[[#This Row],[Fees in JOD]]+Table1[[#This Row],[Added Fees JOD]]</f>
        <v>9</v>
      </c>
      <c r="J215" s="49">
        <f>Table1[[#This Row],[Fees in USD]]+Table1[[#This Row],[Added Fees USD]]</f>
        <v>12.676500000000001</v>
      </c>
      <c r="K215" s="40"/>
      <c r="L215" s="37"/>
      <c r="M215" s="37"/>
      <c r="N215" s="37"/>
      <c r="O215" s="37"/>
    </row>
    <row r="216" spans="1:15" s="1" customFormat="1" ht="31.2" x14ac:dyDescent="0.6">
      <c r="A216" s="23" t="s">
        <v>194</v>
      </c>
      <c r="B216" s="23" t="s">
        <v>459</v>
      </c>
      <c r="C216" s="24">
        <v>5</v>
      </c>
      <c r="D216" s="25">
        <f>_xlfn.XLOOKUP(C216, Sheet2!A:A, Sheet2!B:B)</f>
        <v>9</v>
      </c>
      <c r="E216" s="26">
        <f>Table1[[#This Row],[Fees in JOD]]*1.4085</f>
        <v>12.676500000000001</v>
      </c>
      <c r="F216" s="24"/>
      <c r="G216" s="28">
        <f>_xlfn.XLOOKUP(F216, Sheet2!C:C, Sheet2!D:D)</f>
        <v>0</v>
      </c>
      <c r="H216" s="29">
        <f>Table1[[#This Row],[Added Fees JOD]]*1.4085</f>
        <v>0</v>
      </c>
      <c r="I216" s="48">
        <f>Table1[[#This Row],[Fees in JOD]]+Table1[[#This Row],[Added Fees JOD]]</f>
        <v>9</v>
      </c>
      <c r="J216" s="49">
        <f>Table1[[#This Row],[Fees in USD]]+Table1[[#This Row],[Added Fees USD]]</f>
        <v>12.676500000000001</v>
      </c>
      <c r="K216" s="40"/>
      <c r="L216" s="37"/>
      <c r="M216" s="37"/>
      <c r="N216" s="37"/>
      <c r="O216" s="37"/>
    </row>
    <row r="217" spans="1:15" s="1" customFormat="1" ht="31.2" x14ac:dyDescent="0.6">
      <c r="A217" s="23" t="s">
        <v>196</v>
      </c>
      <c r="B217" s="23" t="s">
        <v>460</v>
      </c>
      <c r="C217" s="24">
        <v>5</v>
      </c>
      <c r="D217" s="25">
        <f>_xlfn.XLOOKUP(C217, Sheet2!A:A, Sheet2!B:B)</f>
        <v>9</v>
      </c>
      <c r="E217" s="26">
        <f>Table1[[#This Row],[Fees in JOD]]*1.4085</f>
        <v>12.676500000000001</v>
      </c>
      <c r="F217" s="24"/>
      <c r="G217" s="28">
        <f>_xlfn.XLOOKUP(F217, Sheet2!C:C, Sheet2!D:D)</f>
        <v>0</v>
      </c>
      <c r="H217" s="29">
        <f>Table1[[#This Row],[Added Fees JOD]]*1.4085</f>
        <v>0</v>
      </c>
      <c r="I217" s="48">
        <f>Table1[[#This Row],[Fees in JOD]]+Table1[[#This Row],[Added Fees JOD]]</f>
        <v>9</v>
      </c>
      <c r="J217" s="49">
        <f>Table1[[#This Row],[Fees in USD]]+Table1[[#This Row],[Added Fees USD]]</f>
        <v>12.676500000000001</v>
      </c>
      <c r="K217" s="40"/>
      <c r="L217" s="37"/>
      <c r="M217" s="37"/>
      <c r="N217" s="37"/>
      <c r="O217" s="37"/>
    </row>
    <row r="218" spans="1:15" s="1" customFormat="1" ht="31.2" x14ac:dyDescent="0.6">
      <c r="A218" s="23" t="s">
        <v>197</v>
      </c>
      <c r="B218" s="23" t="s">
        <v>461</v>
      </c>
      <c r="C218" s="24">
        <v>5</v>
      </c>
      <c r="D218" s="25">
        <f>_xlfn.XLOOKUP(C218, Sheet2!A:A, Sheet2!B:B)</f>
        <v>9</v>
      </c>
      <c r="E218" s="26">
        <f>Table1[[#This Row],[Fees in JOD]]*1.4085</f>
        <v>12.676500000000001</v>
      </c>
      <c r="F218" s="24"/>
      <c r="G218" s="28">
        <f>_xlfn.XLOOKUP(F218, Sheet2!C:C, Sheet2!D:D)</f>
        <v>0</v>
      </c>
      <c r="H218" s="29">
        <f>Table1[[#This Row],[Added Fees JOD]]*1.4085</f>
        <v>0</v>
      </c>
      <c r="I218" s="48">
        <f>Table1[[#This Row],[Fees in JOD]]+Table1[[#This Row],[Added Fees JOD]]</f>
        <v>9</v>
      </c>
      <c r="J218" s="49">
        <f>Table1[[#This Row],[Fees in USD]]+Table1[[#This Row],[Added Fees USD]]</f>
        <v>12.676500000000001</v>
      </c>
      <c r="K218" s="40"/>
      <c r="L218" s="37"/>
      <c r="M218" s="37"/>
      <c r="N218" s="37"/>
      <c r="O218" s="37"/>
    </row>
    <row r="219" spans="1:15" s="1" customFormat="1" ht="31.2" x14ac:dyDescent="0.6">
      <c r="A219" s="23" t="s">
        <v>198</v>
      </c>
      <c r="B219" s="23" t="s">
        <v>462</v>
      </c>
      <c r="C219" s="24">
        <v>5</v>
      </c>
      <c r="D219" s="25">
        <f>_xlfn.XLOOKUP(C219, Sheet2!A:A, Sheet2!B:B)</f>
        <v>9</v>
      </c>
      <c r="E219" s="26">
        <f>Table1[[#This Row],[Fees in JOD]]*1.4085</f>
        <v>12.676500000000001</v>
      </c>
      <c r="F219" s="24"/>
      <c r="G219" s="28">
        <f>_xlfn.XLOOKUP(F219, Sheet2!C:C, Sheet2!D:D)</f>
        <v>0</v>
      </c>
      <c r="H219" s="29">
        <f>Table1[[#This Row],[Added Fees JOD]]*1.4085</f>
        <v>0</v>
      </c>
      <c r="I219" s="48">
        <f>Table1[[#This Row],[Fees in JOD]]+Table1[[#This Row],[Added Fees JOD]]</f>
        <v>9</v>
      </c>
      <c r="J219" s="49">
        <f>Table1[[#This Row],[Fees in USD]]+Table1[[#This Row],[Added Fees USD]]</f>
        <v>12.676500000000001</v>
      </c>
      <c r="K219" s="40"/>
      <c r="L219" s="37"/>
      <c r="M219" s="37"/>
      <c r="N219" s="37"/>
      <c r="O219" s="37"/>
    </row>
    <row r="220" spans="1:15" s="1" customFormat="1" ht="31.2" x14ac:dyDescent="0.6">
      <c r="A220" s="23" t="s">
        <v>199</v>
      </c>
      <c r="B220" s="23" t="s">
        <v>463</v>
      </c>
      <c r="C220" s="24">
        <v>5</v>
      </c>
      <c r="D220" s="25">
        <f>_xlfn.XLOOKUP(C220, Sheet2!A:A, Sheet2!B:B)</f>
        <v>9</v>
      </c>
      <c r="E220" s="26">
        <f>Table1[[#This Row],[Fees in JOD]]*1.4085</f>
        <v>12.676500000000001</v>
      </c>
      <c r="F220" s="24"/>
      <c r="G220" s="28">
        <f>_xlfn.XLOOKUP(F220, Sheet2!C:C, Sheet2!D:D)</f>
        <v>0</v>
      </c>
      <c r="H220" s="29">
        <f>Table1[[#This Row],[Added Fees JOD]]*1.4085</f>
        <v>0</v>
      </c>
      <c r="I220" s="48">
        <f>Table1[[#This Row],[Fees in JOD]]+Table1[[#This Row],[Added Fees JOD]]</f>
        <v>9</v>
      </c>
      <c r="J220" s="49">
        <f>Table1[[#This Row],[Fees in USD]]+Table1[[#This Row],[Added Fees USD]]</f>
        <v>12.676500000000001</v>
      </c>
      <c r="K220" s="40"/>
      <c r="L220" s="37"/>
      <c r="M220" s="37"/>
      <c r="N220" s="37"/>
      <c r="O220" s="37"/>
    </row>
    <row r="221" spans="1:15" s="1" customFormat="1" ht="31.2" x14ac:dyDescent="0.6">
      <c r="A221" s="23" t="s">
        <v>200</v>
      </c>
      <c r="B221" s="23" t="s">
        <v>464</v>
      </c>
      <c r="C221" s="24">
        <v>5</v>
      </c>
      <c r="D221" s="25">
        <f>_xlfn.XLOOKUP(C221, Sheet2!A:A, Sheet2!B:B)</f>
        <v>9</v>
      </c>
      <c r="E221" s="26">
        <f>Table1[[#This Row],[Fees in JOD]]*1.4085</f>
        <v>12.676500000000001</v>
      </c>
      <c r="F221" s="24"/>
      <c r="G221" s="28">
        <f>_xlfn.XLOOKUP(F221, Sheet2!C:C, Sheet2!D:D)</f>
        <v>0</v>
      </c>
      <c r="H221" s="29">
        <f>Table1[[#This Row],[Added Fees JOD]]*1.4085</f>
        <v>0</v>
      </c>
      <c r="I221" s="48">
        <f>Table1[[#This Row],[Fees in JOD]]+Table1[[#This Row],[Added Fees JOD]]</f>
        <v>9</v>
      </c>
      <c r="J221" s="49">
        <f>Table1[[#This Row],[Fees in USD]]+Table1[[#This Row],[Added Fees USD]]</f>
        <v>12.676500000000001</v>
      </c>
      <c r="K221" s="40"/>
      <c r="L221" s="37"/>
      <c r="M221" s="37"/>
      <c r="N221" s="37"/>
      <c r="O221" s="37"/>
    </row>
    <row r="222" spans="1:15" s="1" customFormat="1" ht="31.2" x14ac:dyDescent="0.6">
      <c r="A222" s="23" t="s">
        <v>201</v>
      </c>
      <c r="B222" s="23" t="s">
        <v>465</v>
      </c>
      <c r="C222" s="24">
        <v>5</v>
      </c>
      <c r="D222" s="25">
        <f>_xlfn.XLOOKUP(C222, Sheet2!A:A, Sheet2!B:B)</f>
        <v>9</v>
      </c>
      <c r="E222" s="26">
        <f>Table1[[#This Row],[Fees in JOD]]*1.4085</f>
        <v>12.676500000000001</v>
      </c>
      <c r="F222" s="24"/>
      <c r="G222" s="28">
        <f>_xlfn.XLOOKUP(F222, Sheet2!C:C, Sheet2!D:D)</f>
        <v>0</v>
      </c>
      <c r="H222" s="29">
        <f>Table1[[#This Row],[Added Fees JOD]]*1.4085</f>
        <v>0</v>
      </c>
      <c r="I222" s="48">
        <f>Table1[[#This Row],[Fees in JOD]]+Table1[[#This Row],[Added Fees JOD]]</f>
        <v>9</v>
      </c>
      <c r="J222" s="49">
        <f>Table1[[#This Row],[Fees in USD]]+Table1[[#This Row],[Added Fees USD]]</f>
        <v>12.676500000000001</v>
      </c>
      <c r="K222" s="40"/>
      <c r="L222" s="37"/>
      <c r="M222" s="37"/>
      <c r="N222" s="37"/>
      <c r="O222" s="37"/>
    </row>
    <row r="223" spans="1:15" s="1" customFormat="1" ht="31.2" x14ac:dyDescent="0.6">
      <c r="A223" s="23" t="s">
        <v>202</v>
      </c>
      <c r="B223" s="23" t="s">
        <v>466</v>
      </c>
      <c r="C223" s="24">
        <v>5</v>
      </c>
      <c r="D223" s="25">
        <f>_xlfn.XLOOKUP(C223, Sheet2!A:A, Sheet2!B:B)</f>
        <v>9</v>
      </c>
      <c r="E223" s="26">
        <f>Table1[[#This Row],[Fees in JOD]]*1.4085</f>
        <v>12.676500000000001</v>
      </c>
      <c r="F223" s="24"/>
      <c r="G223" s="28">
        <f>_xlfn.XLOOKUP(F223, Sheet2!C:C, Sheet2!D:D)</f>
        <v>0</v>
      </c>
      <c r="H223" s="29">
        <f>Table1[[#This Row],[Added Fees JOD]]*1.4085</f>
        <v>0</v>
      </c>
      <c r="I223" s="48">
        <f>Table1[[#This Row],[Fees in JOD]]+Table1[[#This Row],[Added Fees JOD]]</f>
        <v>9</v>
      </c>
      <c r="J223" s="49">
        <f>Table1[[#This Row],[Fees in USD]]+Table1[[#This Row],[Added Fees USD]]</f>
        <v>12.676500000000001</v>
      </c>
      <c r="K223" s="40"/>
      <c r="L223" s="37"/>
      <c r="M223" s="37"/>
      <c r="N223" s="37"/>
      <c r="O223" s="37"/>
    </row>
    <row r="224" spans="1:15" s="1" customFormat="1" ht="31.2" x14ac:dyDescent="0.6">
      <c r="A224" s="23" t="s">
        <v>203</v>
      </c>
      <c r="B224" s="23" t="s">
        <v>467</v>
      </c>
      <c r="C224" s="24">
        <v>5</v>
      </c>
      <c r="D224" s="25">
        <f>_xlfn.XLOOKUP(C224, Sheet2!A:A, Sheet2!B:B)</f>
        <v>9</v>
      </c>
      <c r="E224" s="26">
        <f>Table1[[#This Row],[Fees in JOD]]*1.4085</f>
        <v>12.676500000000001</v>
      </c>
      <c r="F224" s="24"/>
      <c r="G224" s="28">
        <f>_xlfn.XLOOKUP(F224, Sheet2!C:C, Sheet2!D:D)</f>
        <v>0</v>
      </c>
      <c r="H224" s="29">
        <f>Table1[[#This Row],[Added Fees JOD]]*1.4085</f>
        <v>0</v>
      </c>
      <c r="I224" s="48">
        <f>Table1[[#This Row],[Fees in JOD]]+Table1[[#This Row],[Added Fees JOD]]</f>
        <v>9</v>
      </c>
      <c r="J224" s="49">
        <f>Table1[[#This Row],[Fees in USD]]+Table1[[#This Row],[Added Fees USD]]</f>
        <v>12.676500000000001</v>
      </c>
      <c r="K224" s="40"/>
      <c r="L224" s="37"/>
      <c r="M224" s="37"/>
      <c r="N224" s="37"/>
      <c r="O224" s="37"/>
    </row>
    <row r="225" spans="1:15" s="1" customFormat="1" ht="31.2" x14ac:dyDescent="0.6">
      <c r="A225" s="23" t="s">
        <v>204</v>
      </c>
      <c r="B225" s="23" t="s">
        <v>468</v>
      </c>
      <c r="C225" s="24">
        <v>5</v>
      </c>
      <c r="D225" s="25">
        <f>_xlfn.XLOOKUP(C225, Sheet2!A:A, Sheet2!B:B)</f>
        <v>9</v>
      </c>
      <c r="E225" s="26">
        <f>Table1[[#This Row],[Fees in JOD]]*1.4085</f>
        <v>12.676500000000001</v>
      </c>
      <c r="F225" s="24"/>
      <c r="G225" s="28">
        <f>_xlfn.XLOOKUP(F225, Sheet2!C:C, Sheet2!D:D)</f>
        <v>0</v>
      </c>
      <c r="H225" s="29">
        <f>Table1[[#This Row],[Added Fees JOD]]*1.4085</f>
        <v>0</v>
      </c>
      <c r="I225" s="48">
        <f>Table1[[#This Row],[Fees in JOD]]+Table1[[#This Row],[Added Fees JOD]]</f>
        <v>9</v>
      </c>
      <c r="J225" s="49">
        <f>Table1[[#This Row],[Fees in USD]]+Table1[[#This Row],[Added Fees USD]]</f>
        <v>12.676500000000001</v>
      </c>
      <c r="K225" s="40"/>
      <c r="L225" s="37"/>
      <c r="M225" s="37"/>
      <c r="N225" s="37"/>
      <c r="O225" s="37"/>
    </row>
    <row r="226" spans="1:15" s="1" customFormat="1" ht="31.2" x14ac:dyDescent="0.6">
      <c r="A226" s="23" t="s">
        <v>206</v>
      </c>
      <c r="B226" s="23" t="s">
        <v>469</v>
      </c>
      <c r="C226" s="24">
        <v>5</v>
      </c>
      <c r="D226" s="25">
        <f>_xlfn.XLOOKUP(C226, Sheet2!A:A, Sheet2!B:B)</f>
        <v>9</v>
      </c>
      <c r="E226" s="26">
        <f>Table1[[#This Row],[Fees in JOD]]*1.4085</f>
        <v>12.676500000000001</v>
      </c>
      <c r="F226" s="24"/>
      <c r="G226" s="28">
        <f>_xlfn.XLOOKUP(F226, Sheet2!C:C, Sheet2!D:D)</f>
        <v>0</v>
      </c>
      <c r="H226" s="29">
        <f>Table1[[#This Row],[Added Fees JOD]]*1.4085</f>
        <v>0</v>
      </c>
      <c r="I226" s="48">
        <f>Table1[[#This Row],[Fees in JOD]]+Table1[[#This Row],[Added Fees JOD]]</f>
        <v>9</v>
      </c>
      <c r="J226" s="49">
        <f>Table1[[#This Row],[Fees in USD]]+Table1[[#This Row],[Added Fees USD]]</f>
        <v>12.676500000000001</v>
      </c>
      <c r="K226" s="40"/>
      <c r="L226" s="37"/>
      <c r="M226" s="37"/>
      <c r="N226" s="37"/>
      <c r="O226" s="37"/>
    </row>
    <row r="227" spans="1:15" s="1" customFormat="1" ht="31.2" x14ac:dyDescent="0.6">
      <c r="A227" s="23" t="s">
        <v>207</v>
      </c>
      <c r="B227" s="23" t="s">
        <v>470</v>
      </c>
      <c r="C227" s="24">
        <v>5</v>
      </c>
      <c r="D227" s="25">
        <f>_xlfn.XLOOKUP(C227, Sheet2!A:A, Sheet2!B:B)</f>
        <v>9</v>
      </c>
      <c r="E227" s="26">
        <f>Table1[[#This Row],[Fees in JOD]]*1.4085</f>
        <v>12.676500000000001</v>
      </c>
      <c r="F227" s="24"/>
      <c r="G227" s="28">
        <f>_xlfn.XLOOKUP(F227, Sheet2!C:C, Sheet2!D:D)</f>
        <v>0</v>
      </c>
      <c r="H227" s="29">
        <f>Table1[[#This Row],[Added Fees JOD]]*1.4085</f>
        <v>0</v>
      </c>
      <c r="I227" s="48">
        <f>Table1[[#This Row],[Fees in JOD]]+Table1[[#This Row],[Added Fees JOD]]</f>
        <v>9</v>
      </c>
      <c r="J227" s="49">
        <f>Table1[[#This Row],[Fees in USD]]+Table1[[#This Row],[Added Fees USD]]</f>
        <v>12.676500000000001</v>
      </c>
      <c r="K227" s="40"/>
      <c r="L227" s="37"/>
      <c r="M227" s="37"/>
      <c r="N227" s="37"/>
      <c r="O227" s="37"/>
    </row>
    <row r="228" spans="1:15" s="1" customFormat="1" ht="31.2" x14ac:dyDescent="0.6">
      <c r="A228" s="23" t="s">
        <v>209</v>
      </c>
      <c r="B228" s="23" t="s">
        <v>471</v>
      </c>
      <c r="C228" s="24">
        <v>5</v>
      </c>
      <c r="D228" s="25">
        <f>_xlfn.XLOOKUP(C228, Sheet2!A:A, Sheet2!B:B)</f>
        <v>9</v>
      </c>
      <c r="E228" s="26">
        <f>Table1[[#This Row],[Fees in JOD]]*1.4085</f>
        <v>12.676500000000001</v>
      </c>
      <c r="F228" s="24"/>
      <c r="G228" s="28">
        <f>_xlfn.XLOOKUP(F228, Sheet2!C:C, Sheet2!D:D)</f>
        <v>0</v>
      </c>
      <c r="H228" s="29">
        <f>Table1[[#This Row],[Added Fees JOD]]*1.4085</f>
        <v>0</v>
      </c>
      <c r="I228" s="48">
        <f>Table1[[#This Row],[Fees in JOD]]+Table1[[#This Row],[Added Fees JOD]]</f>
        <v>9</v>
      </c>
      <c r="J228" s="49">
        <f>Table1[[#This Row],[Fees in USD]]+Table1[[#This Row],[Added Fees USD]]</f>
        <v>12.676500000000001</v>
      </c>
      <c r="K228" s="40"/>
      <c r="L228" s="37"/>
      <c r="M228" s="37"/>
      <c r="N228" s="37"/>
      <c r="O228" s="37"/>
    </row>
    <row r="229" spans="1:15" s="1" customFormat="1" ht="31.2" x14ac:dyDescent="0.6">
      <c r="A229" s="23" t="s">
        <v>212</v>
      </c>
      <c r="B229" s="23" t="s">
        <v>472</v>
      </c>
      <c r="C229" s="24">
        <v>5</v>
      </c>
      <c r="D229" s="25">
        <f>_xlfn.XLOOKUP(C229, Sheet2!A:A, Sheet2!B:B)</f>
        <v>9</v>
      </c>
      <c r="E229" s="26">
        <f>Table1[[#This Row],[Fees in JOD]]*1.4085</f>
        <v>12.676500000000001</v>
      </c>
      <c r="F229" s="24"/>
      <c r="G229" s="28">
        <f>_xlfn.XLOOKUP(F229, Sheet2!C:C, Sheet2!D:D)</f>
        <v>0</v>
      </c>
      <c r="H229" s="29">
        <f>Table1[[#This Row],[Added Fees JOD]]*1.4085</f>
        <v>0</v>
      </c>
      <c r="I229" s="48">
        <f>Table1[[#This Row],[Fees in JOD]]+Table1[[#This Row],[Added Fees JOD]]</f>
        <v>9</v>
      </c>
      <c r="J229" s="49">
        <f>Table1[[#This Row],[Fees in USD]]+Table1[[#This Row],[Added Fees USD]]</f>
        <v>12.676500000000001</v>
      </c>
      <c r="K229" s="40"/>
      <c r="L229" s="37"/>
      <c r="M229" s="37"/>
      <c r="N229" s="37"/>
      <c r="O229" s="37"/>
    </row>
    <row r="230" spans="1:15" s="1" customFormat="1" ht="31.2" x14ac:dyDescent="0.6">
      <c r="A230" s="23" t="s">
        <v>213</v>
      </c>
      <c r="B230" s="23" t="s">
        <v>473</v>
      </c>
      <c r="C230" s="24">
        <v>5</v>
      </c>
      <c r="D230" s="25">
        <f>_xlfn.XLOOKUP(C230, Sheet2!A:A, Sheet2!B:B)</f>
        <v>9</v>
      </c>
      <c r="E230" s="26">
        <f>Table1[[#This Row],[Fees in JOD]]*1.4085</f>
        <v>12.676500000000001</v>
      </c>
      <c r="F230" s="24"/>
      <c r="G230" s="28">
        <f>_xlfn.XLOOKUP(F230, Sheet2!C:C, Sheet2!D:D)</f>
        <v>0</v>
      </c>
      <c r="H230" s="29">
        <f>Table1[[#This Row],[Added Fees JOD]]*1.4085</f>
        <v>0</v>
      </c>
      <c r="I230" s="48">
        <f>Table1[[#This Row],[Fees in JOD]]+Table1[[#This Row],[Added Fees JOD]]</f>
        <v>9</v>
      </c>
      <c r="J230" s="49">
        <f>Table1[[#This Row],[Fees in USD]]+Table1[[#This Row],[Added Fees USD]]</f>
        <v>12.676500000000001</v>
      </c>
      <c r="K230" s="40"/>
      <c r="L230" s="37"/>
      <c r="M230" s="37"/>
      <c r="N230" s="37"/>
      <c r="O230" s="37"/>
    </row>
    <row r="231" spans="1:15" s="1" customFormat="1" ht="31.2" x14ac:dyDescent="0.6">
      <c r="A231" s="23" t="s">
        <v>214</v>
      </c>
      <c r="B231" s="23" t="s">
        <v>474</v>
      </c>
      <c r="C231" s="24">
        <v>5</v>
      </c>
      <c r="D231" s="25">
        <f>_xlfn.XLOOKUP(C231, Sheet2!A:A, Sheet2!B:B)</f>
        <v>9</v>
      </c>
      <c r="E231" s="26">
        <f>Table1[[#This Row],[Fees in JOD]]*1.4085</f>
        <v>12.676500000000001</v>
      </c>
      <c r="F231" s="24"/>
      <c r="G231" s="28">
        <f>_xlfn.XLOOKUP(F231, Sheet2!C:C, Sheet2!D:D)</f>
        <v>0</v>
      </c>
      <c r="H231" s="29">
        <f>Table1[[#This Row],[Added Fees JOD]]*1.4085</f>
        <v>0</v>
      </c>
      <c r="I231" s="48">
        <f>Table1[[#This Row],[Fees in JOD]]+Table1[[#This Row],[Added Fees JOD]]</f>
        <v>9</v>
      </c>
      <c r="J231" s="49">
        <f>Table1[[#This Row],[Fees in USD]]+Table1[[#This Row],[Added Fees USD]]</f>
        <v>12.676500000000001</v>
      </c>
      <c r="K231" s="40"/>
      <c r="L231" s="37"/>
      <c r="M231" s="37"/>
      <c r="N231" s="37"/>
      <c r="O231" s="37"/>
    </row>
    <row r="232" spans="1:15" s="1" customFormat="1" ht="31.2" x14ac:dyDescent="0.6">
      <c r="A232" s="23" t="s">
        <v>215</v>
      </c>
      <c r="B232" s="23" t="s">
        <v>475</v>
      </c>
      <c r="C232" s="24">
        <v>5</v>
      </c>
      <c r="D232" s="25">
        <f>_xlfn.XLOOKUP(C232, Sheet2!A:A, Sheet2!B:B)</f>
        <v>9</v>
      </c>
      <c r="E232" s="26">
        <f>Table1[[#This Row],[Fees in JOD]]*1.4085</f>
        <v>12.676500000000001</v>
      </c>
      <c r="F232" s="24"/>
      <c r="G232" s="28">
        <f>_xlfn.XLOOKUP(F232, Sheet2!C:C, Sheet2!D:D)</f>
        <v>0</v>
      </c>
      <c r="H232" s="29">
        <f>Table1[[#This Row],[Added Fees JOD]]*1.4085</f>
        <v>0</v>
      </c>
      <c r="I232" s="48">
        <f>Table1[[#This Row],[Fees in JOD]]+Table1[[#This Row],[Added Fees JOD]]</f>
        <v>9</v>
      </c>
      <c r="J232" s="49">
        <f>Table1[[#This Row],[Fees in USD]]+Table1[[#This Row],[Added Fees USD]]</f>
        <v>12.676500000000001</v>
      </c>
      <c r="K232" s="40"/>
      <c r="L232" s="37"/>
      <c r="M232" s="37"/>
      <c r="N232" s="37"/>
      <c r="O232" s="37"/>
    </row>
    <row r="233" spans="1:15" s="1" customFormat="1" ht="31.2" x14ac:dyDescent="0.6">
      <c r="A233" s="23" t="s">
        <v>216</v>
      </c>
      <c r="B233" s="23" t="s">
        <v>476</v>
      </c>
      <c r="C233" s="24">
        <v>5</v>
      </c>
      <c r="D233" s="25">
        <f>_xlfn.XLOOKUP(C233, Sheet2!A:A, Sheet2!B:B)</f>
        <v>9</v>
      </c>
      <c r="E233" s="26">
        <f>Table1[[#This Row],[Fees in JOD]]*1.4085</f>
        <v>12.676500000000001</v>
      </c>
      <c r="F233" s="24"/>
      <c r="G233" s="28">
        <f>_xlfn.XLOOKUP(F233, Sheet2!C:C, Sheet2!D:D)</f>
        <v>0</v>
      </c>
      <c r="H233" s="29">
        <f>Table1[[#This Row],[Added Fees JOD]]*1.4085</f>
        <v>0</v>
      </c>
      <c r="I233" s="48">
        <f>Table1[[#This Row],[Fees in JOD]]+Table1[[#This Row],[Added Fees JOD]]</f>
        <v>9</v>
      </c>
      <c r="J233" s="49">
        <f>Table1[[#This Row],[Fees in USD]]+Table1[[#This Row],[Added Fees USD]]</f>
        <v>12.676500000000001</v>
      </c>
      <c r="K233" s="40"/>
      <c r="L233" s="37"/>
      <c r="M233" s="37"/>
      <c r="N233" s="37"/>
      <c r="O233" s="37"/>
    </row>
    <row r="234" spans="1:15" s="1" customFormat="1" ht="31.2" x14ac:dyDescent="0.6">
      <c r="A234" s="23" t="s">
        <v>217</v>
      </c>
      <c r="B234" s="23" t="s">
        <v>477</v>
      </c>
      <c r="C234" s="24">
        <v>5</v>
      </c>
      <c r="D234" s="25">
        <f>_xlfn.XLOOKUP(C234, Sheet2!A:A, Sheet2!B:B)</f>
        <v>9</v>
      </c>
      <c r="E234" s="26">
        <f>Table1[[#This Row],[Fees in JOD]]*1.4085</f>
        <v>12.676500000000001</v>
      </c>
      <c r="F234" s="24"/>
      <c r="G234" s="28">
        <f>_xlfn.XLOOKUP(F234, Sheet2!C:C, Sheet2!D:D)</f>
        <v>0</v>
      </c>
      <c r="H234" s="29">
        <f>Table1[[#This Row],[Added Fees JOD]]*1.4085</f>
        <v>0</v>
      </c>
      <c r="I234" s="48">
        <f>Table1[[#This Row],[Fees in JOD]]+Table1[[#This Row],[Added Fees JOD]]</f>
        <v>9</v>
      </c>
      <c r="J234" s="49">
        <f>Table1[[#This Row],[Fees in USD]]+Table1[[#This Row],[Added Fees USD]]</f>
        <v>12.676500000000001</v>
      </c>
      <c r="K234" s="40"/>
      <c r="L234" s="37"/>
      <c r="M234" s="37"/>
      <c r="N234" s="37"/>
      <c r="O234" s="37"/>
    </row>
    <row r="235" spans="1:15" s="1" customFormat="1" ht="31.2" x14ac:dyDescent="0.6">
      <c r="A235" s="23" t="s">
        <v>218</v>
      </c>
      <c r="B235" s="23" t="s">
        <v>478</v>
      </c>
      <c r="C235" s="24">
        <v>5</v>
      </c>
      <c r="D235" s="25">
        <f>_xlfn.XLOOKUP(C235, Sheet2!A:A, Sheet2!B:B)</f>
        <v>9</v>
      </c>
      <c r="E235" s="26">
        <f>Table1[[#This Row],[Fees in JOD]]*1.4085</f>
        <v>12.676500000000001</v>
      </c>
      <c r="F235" s="24"/>
      <c r="G235" s="28">
        <f>_xlfn.XLOOKUP(F235, Sheet2!C:C, Sheet2!D:D)</f>
        <v>0</v>
      </c>
      <c r="H235" s="29">
        <f>Table1[[#This Row],[Added Fees JOD]]*1.4085</f>
        <v>0</v>
      </c>
      <c r="I235" s="48">
        <f>Table1[[#This Row],[Fees in JOD]]+Table1[[#This Row],[Added Fees JOD]]</f>
        <v>9</v>
      </c>
      <c r="J235" s="49">
        <f>Table1[[#This Row],[Fees in USD]]+Table1[[#This Row],[Added Fees USD]]</f>
        <v>12.676500000000001</v>
      </c>
      <c r="K235" s="40"/>
      <c r="L235" s="37"/>
      <c r="M235" s="37"/>
      <c r="N235" s="37"/>
      <c r="O235" s="37"/>
    </row>
    <row r="236" spans="1:15" s="1" customFormat="1" ht="31.2" x14ac:dyDescent="0.6">
      <c r="A236" s="23" t="s">
        <v>220</v>
      </c>
      <c r="B236" s="23" t="s">
        <v>479</v>
      </c>
      <c r="C236" s="24">
        <v>5</v>
      </c>
      <c r="D236" s="25">
        <f>_xlfn.XLOOKUP(C236, Sheet2!A:A, Sheet2!B:B)</f>
        <v>9</v>
      </c>
      <c r="E236" s="26">
        <f>Table1[[#This Row],[Fees in JOD]]*1.4085</f>
        <v>12.676500000000001</v>
      </c>
      <c r="F236" s="24"/>
      <c r="G236" s="28">
        <f>_xlfn.XLOOKUP(F236, Sheet2!C:C, Sheet2!D:D)</f>
        <v>0</v>
      </c>
      <c r="H236" s="29">
        <f>Table1[[#This Row],[Added Fees JOD]]*1.4085</f>
        <v>0</v>
      </c>
      <c r="I236" s="48">
        <f>Table1[[#This Row],[Fees in JOD]]+Table1[[#This Row],[Added Fees JOD]]</f>
        <v>9</v>
      </c>
      <c r="J236" s="49">
        <f>Table1[[#This Row],[Fees in USD]]+Table1[[#This Row],[Added Fees USD]]</f>
        <v>12.676500000000001</v>
      </c>
      <c r="K236" s="40"/>
      <c r="L236" s="37"/>
      <c r="M236" s="37"/>
      <c r="N236" s="37"/>
      <c r="O236" s="37"/>
    </row>
    <row r="237" spans="1:15" s="1" customFormat="1" ht="31.2" x14ac:dyDescent="0.6">
      <c r="A237" s="23" t="s">
        <v>222</v>
      </c>
      <c r="B237" s="23" t="s">
        <v>480</v>
      </c>
      <c r="C237" s="24">
        <v>5</v>
      </c>
      <c r="D237" s="25">
        <f>_xlfn.XLOOKUP(C237, Sheet2!A:A, Sheet2!B:B)</f>
        <v>9</v>
      </c>
      <c r="E237" s="26">
        <f>Table1[[#This Row],[Fees in JOD]]*1.4085</f>
        <v>12.676500000000001</v>
      </c>
      <c r="F237" s="24"/>
      <c r="G237" s="28">
        <f>_xlfn.XLOOKUP(F237, Sheet2!C:C, Sheet2!D:D)</f>
        <v>0</v>
      </c>
      <c r="H237" s="29">
        <f>Table1[[#This Row],[Added Fees JOD]]*1.4085</f>
        <v>0</v>
      </c>
      <c r="I237" s="48">
        <f>Table1[[#This Row],[Fees in JOD]]+Table1[[#This Row],[Added Fees JOD]]</f>
        <v>9</v>
      </c>
      <c r="J237" s="49">
        <f>Table1[[#This Row],[Fees in USD]]+Table1[[#This Row],[Added Fees USD]]</f>
        <v>12.676500000000001</v>
      </c>
      <c r="K237" s="40"/>
      <c r="L237" s="37"/>
      <c r="M237" s="37"/>
      <c r="N237" s="37"/>
      <c r="O237" s="37"/>
    </row>
    <row r="238" spans="1:15" s="1" customFormat="1" ht="31.2" x14ac:dyDescent="0.6">
      <c r="A238" s="23" t="s">
        <v>223</v>
      </c>
      <c r="B238" s="23" t="s">
        <v>481</v>
      </c>
      <c r="C238" s="24">
        <v>5</v>
      </c>
      <c r="D238" s="25">
        <f>_xlfn.XLOOKUP(C238, Sheet2!A:A, Sheet2!B:B)</f>
        <v>9</v>
      </c>
      <c r="E238" s="26">
        <f>Table1[[#This Row],[Fees in JOD]]*1.4085</f>
        <v>12.676500000000001</v>
      </c>
      <c r="F238" s="24"/>
      <c r="G238" s="28">
        <f>_xlfn.XLOOKUP(F238, Sheet2!C:C, Sheet2!D:D)</f>
        <v>0</v>
      </c>
      <c r="H238" s="29">
        <f>Table1[[#This Row],[Added Fees JOD]]*1.4085</f>
        <v>0</v>
      </c>
      <c r="I238" s="48">
        <f>Table1[[#This Row],[Fees in JOD]]+Table1[[#This Row],[Added Fees JOD]]</f>
        <v>9</v>
      </c>
      <c r="J238" s="49">
        <f>Table1[[#This Row],[Fees in USD]]+Table1[[#This Row],[Added Fees USD]]</f>
        <v>12.676500000000001</v>
      </c>
      <c r="K238" s="40"/>
      <c r="L238" s="37"/>
      <c r="M238" s="37"/>
      <c r="N238" s="37"/>
      <c r="O238" s="37"/>
    </row>
    <row r="239" spans="1:15" s="1" customFormat="1" ht="31.2" x14ac:dyDescent="0.6">
      <c r="A239" s="23" t="s">
        <v>225</v>
      </c>
      <c r="B239" s="23" t="s">
        <v>482</v>
      </c>
      <c r="C239" s="24">
        <v>5</v>
      </c>
      <c r="D239" s="25">
        <f>_xlfn.XLOOKUP(C239, Sheet2!A:A, Sheet2!B:B)</f>
        <v>9</v>
      </c>
      <c r="E239" s="26">
        <f>Table1[[#This Row],[Fees in JOD]]*1.4085</f>
        <v>12.676500000000001</v>
      </c>
      <c r="F239" s="24"/>
      <c r="G239" s="28">
        <f>_xlfn.XLOOKUP(F239, Sheet2!C:C, Sheet2!D:D)</f>
        <v>0</v>
      </c>
      <c r="H239" s="29">
        <f>Table1[[#This Row],[Added Fees JOD]]*1.4085</f>
        <v>0</v>
      </c>
      <c r="I239" s="48">
        <f>Table1[[#This Row],[Fees in JOD]]+Table1[[#This Row],[Added Fees JOD]]</f>
        <v>9</v>
      </c>
      <c r="J239" s="49">
        <f>Table1[[#This Row],[Fees in USD]]+Table1[[#This Row],[Added Fees USD]]</f>
        <v>12.676500000000001</v>
      </c>
      <c r="K239" s="40"/>
      <c r="L239" s="37"/>
      <c r="M239" s="37"/>
      <c r="N239" s="37"/>
      <c r="O239" s="37"/>
    </row>
    <row r="240" spans="1:15" s="1" customFormat="1" ht="31.2" x14ac:dyDescent="0.6">
      <c r="A240" s="23" t="s">
        <v>226</v>
      </c>
      <c r="B240" s="23" t="s">
        <v>483</v>
      </c>
      <c r="C240" s="24">
        <v>5</v>
      </c>
      <c r="D240" s="25">
        <f>_xlfn.XLOOKUP(C240, Sheet2!A:A, Sheet2!B:B)</f>
        <v>9</v>
      </c>
      <c r="E240" s="26">
        <f>Table1[[#This Row],[Fees in JOD]]*1.4085</f>
        <v>12.676500000000001</v>
      </c>
      <c r="F240" s="24"/>
      <c r="G240" s="28">
        <f>_xlfn.XLOOKUP(F240, Sheet2!C:C, Sheet2!D:D)</f>
        <v>0</v>
      </c>
      <c r="H240" s="29">
        <f>Table1[[#This Row],[Added Fees JOD]]*1.4085</f>
        <v>0</v>
      </c>
      <c r="I240" s="48">
        <f>Table1[[#This Row],[Fees in JOD]]+Table1[[#This Row],[Added Fees JOD]]</f>
        <v>9</v>
      </c>
      <c r="J240" s="49">
        <f>Table1[[#This Row],[Fees in USD]]+Table1[[#This Row],[Added Fees USD]]</f>
        <v>12.676500000000001</v>
      </c>
      <c r="K240" s="40"/>
      <c r="L240" s="37"/>
      <c r="M240" s="37"/>
      <c r="N240" s="37"/>
      <c r="O240" s="37"/>
    </row>
    <row r="241" spans="1:15" s="1" customFormat="1" ht="31.2" x14ac:dyDescent="0.6">
      <c r="A241" s="23" t="s">
        <v>227</v>
      </c>
      <c r="B241" s="23" t="s">
        <v>484</v>
      </c>
      <c r="C241" s="24">
        <v>5</v>
      </c>
      <c r="D241" s="25">
        <f>_xlfn.XLOOKUP(C241, Sheet2!A:A, Sheet2!B:B)</f>
        <v>9</v>
      </c>
      <c r="E241" s="26">
        <f>Table1[[#This Row],[Fees in JOD]]*1.4085</f>
        <v>12.676500000000001</v>
      </c>
      <c r="F241" s="24"/>
      <c r="G241" s="28">
        <f>_xlfn.XLOOKUP(F241, Sheet2!C:C, Sheet2!D:D)</f>
        <v>0</v>
      </c>
      <c r="H241" s="29">
        <f>Table1[[#This Row],[Added Fees JOD]]*1.4085</f>
        <v>0</v>
      </c>
      <c r="I241" s="48">
        <f>Table1[[#This Row],[Fees in JOD]]+Table1[[#This Row],[Added Fees JOD]]</f>
        <v>9</v>
      </c>
      <c r="J241" s="49">
        <f>Table1[[#This Row],[Fees in USD]]+Table1[[#This Row],[Added Fees USD]]</f>
        <v>12.676500000000001</v>
      </c>
      <c r="K241" s="40"/>
      <c r="L241" s="37"/>
      <c r="M241" s="37"/>
      <c r="N241" s="37"/>
      <c r="O241" s="37"/>
    </row>
    <row r="242" spans="1:15" s="1" customFormat="1" ht="31.2" x14ac:dyDescent="0.6">
      <c r="A242" s="23" t="s">
        <v>228</v>
      </c>
      <c r="B242" s="23" t="s">
        <v>485</v>
      </c>
      <c r="C242" s="24">
        <v>5</v>
      </c>
      <c r="D242" s="25">
        <f>_xlfn.XLOOKUP(C242, Sheet2!A:A, Sheet2!B:B)</f>
        <v>9</v>
      </c>
      <c r="E242" s="26">
        <f>Table1[[#This Row],[Fees in JOD]]*1.4085</f>
        <v>12.676500000000001</v>
      </c>
      <c r="F242" s="24"/>
      <c r="G242" s="28">
        <f>_xlfn.XLOOKUP(F242, Sheet2!C:C, Sheet2!D:D)</f>
        <v>0</v>
      </c>
      <c r="H242" s="29">
        <f>Table1[[#This Row],[Added Fees JOD]]*1.4085</f>
        <v>0</v>
      </c>
      <c r="I242" s="48">
        <f>Table1[[#This Row],[Fees in JOD]]+Table1[[#This Row],[Added Fees JOD]]</f>
        <v>9</v>
      </c>
      <c r="J242" s="49">
        <f>Table1[[#This Row],[Fees in USD]]+Table1[[#This Row],[Added Fees USD]]</f>
        <v>12.676500000000001</v>
      </c>
      <c r="K242" s="40"/>
      <c r="L242" s="37"/>
      <c r="M242" s="37"/>
      <c r="N242" s="37"/>
      <c r="O242" s="37"/>
    </row>
    <row r="243" spans="1:15" s="1" customFormat="1" ht="31.2" x14ac:dyDescent="0.6">
      <c r="A243" s="23" t="s">
        <v>230</v>
      </c>
      <c r="B243" s="23" t="s">
        <v>486</v>
      </c>
      <c r="C243" s="24">
        <v>5</v>
      </c>
      <c r="D243" s="25">
        <f>_xlfn.XLOOKUP(C243, Sheet2!A:A, Sheet2!B:B)</f>
        <v>9</v>
      </c>
      <c r="E243" s="26">
        <f>Table1[[#This Row],[Fees in JOD]]*1.4085</f>
        <v>12.676500000000001</v>
      </c>
      <c r="F243" s="24"/>
      <c r="G243" s="28">
        <f>_xlfn.XLOOKUP(F243, Sheet2!C:C, Sheet2!D:D)</f>
        <v>0</v>
      </c>
      <c r="H243" s="29">
        <f>Table1[[#This Row],[Added Fees JOD]]*1.4085</f>
        <v>0</v>
      </c>
      <c r="I243" s="48">
        <f>Table1[[#This Row],[Fees in JOD]]+Table1[[#This Row],[Added Fees JOD]]</f>
        <v>9</v>
      </c>
      <c r="J243" s="49">
        <f>Table1[[#This Row],[Fees in USD]]+Table1[[#This Row],[Added Fees USD]]</f>
        <v>12.676500000000001</v>
      </c>
      <c r="K243" s="40"/>
      <c r="L243" s="37"/>
      <c r="M243" s="37"/>
      <c r="N243" s="37"/>
      <c r="O243" s="37"/>
    </row>
    <row r="244" spans="1:15" s="1" customFormat="1" ht="31.2" x14ac:dyDescent="0.6">
      <c r="A244" s="23" t="s">
        <v>231</v>
      </c>
      <c r="B244" s="23" t="s">
        <v>487</v>
      </c>
      <c r="C244" s="24">
        <v>5</v>
      </c>
      <c r="D244" s="25">
        <f>_xlfn.XLOOKUP(C244, Sheet2!A:A, Sheet2!B:B)</f>
        <v>9</v>
      </c>
      <c r="E244" s="26">
        <f>Table1[[#This Row],[Fees in JOD]]*1.4085</f>
        <v>12.676500000000001</v>
      </c>
      <c r="F244" s="24"/>
      <c r="G244" s="28">
        <f>_xlfn.XLOOKUP(F244, Sheet2!C:C, Sheet2!D:D)</f>
        <v>0</v>
      </c>
      <c r="H244" s="29">
        <f>Table1[[#This Row],[Added Fees JOD]]*1.4085</f>
        <v>0</v>
      </c>
      <c r="I244" s="48">
        <f>Table1[[#This Row],[Fees in JOD]]+Table1[[#This Row],[Added Fees JOD]]</f>
        <v>9</v>
      </c>
      <c r="J244" s="49">
        <f>Table1[[#This Row],[Fees in USD]]+Table1[[#This Row],[Added Fees USD]]</f>
        <v>12.676500000000001</v>
      </c>
      <c r="K244" s="40"/>
      <c r="L244" s="37"/>
      <c r="M244" s="37"/>
      <c r="N244" s="37"/>
      <c r="O244" s="37"/>
    </row>
    <row r="245" spans="1:15" s="1" customFormat="1" ht="31.2" x14ac:dyDescent="0.6">
      <c r="A245" s="23" t="s">
        <v>232</v>
      </c>
      <c r="B245" s="23" t="s">
        <v>488</v>
      </c>
      <c r="C245" s="24">
        <v>5</v>
      </c>
      <c r="D245" s="25">
        <f>_xlfn.XLOOKUP(C245, Sheet2!A:A, Sheet2!B:B)</f>
        <v>9</v>
      </c>
      <c r="E245" s="26">
        <f>Table1[[#This Row],[Fees in JOD]]*1.4085</f>
        <v>12.676500000000001</v>
      </c>
      <c r="F245" s="24"/>
      <c r="G245" s="28">
        <f>_xlfn.XLOOKUP(F245, Sheet2!C:C, Sheet2!D:D)</f>
        <v>0</v>
      </c>
      <c r="H245" s="29">
        <f>Table1[[#This Row],[Added Fees JOD]]*1.4085</f>
        <v>0</v>
      </c>
      <c r="I245" s="48">
        <f>Table1[[#This Row],[Fees in JOD]]+Table1[[#This Row],[Added Fees JOD]]</f>
        <v>9</v>
      </c>
      <c r="J245" s="49">
        <f>Table1[[#This Row],[Fees in USD]]+Table1[[#This Row],[Added Fees USD]]</f>
        <v>12.676500000000001</v>
      </c>
      <c r="K245" s="40"/>
      <c r="L245" s="37"/>
      <c r="M245" s="37"/>
      <c r="N245" s="37"/>
      <c r="O245" s="37"/>
    </row>
    <row r="246" spans="1:15" s="1" customFormat="1" ht="31.2" x14ac:dyDescent="0.6">
      <c r="A246" s="23" t="s">
        <v>234</v>
      </c>
      <c r="B246" s="23" t="s">
        <v>489</v>
      </c>
      <c r="C246" s="24">
        <v>5</v>
      </c>
      <c r="D246" s="25">
        <f>_xlfn.XLOOKUP(C246, Sheet2!A:A, Sheet2!B:B)</f>
        <v>9</v>
      </c>
      <c r="E246" s="26">
        <f>Table1[[#This Row],[Fees in JOD]]*1.4085</f>
        <v>12.676500000000001</v>
      </c>
      <c r="F246" s="24"/>
      <c r="G246" s="28">
        <f>_xlfn.XLOOKUP(F246, Sheet2!C:C, Sheet2!D:D)</f>
        <v>0</v>
      </c>
      <c r="H246" s="29">
        <f>Table1[[#This Row],[Added Fees JOD]]*1.4085</f>
        <v>0</v>
      </c>
      <c r="I246" s="48">
        <f>Table1[[#This Row],[Fees in JOD]]+Table1[[#This Row],[Added Fees JOD]]</f>
        <v>9</v>
      </c>
      <c r="J246" s="49">
        <f>Table1[[#This Row],[Fees in USD]]+Table1[[#This Row],[Added Fees USD]]</f>
        <v>12.676500000000001</v>
      </c>
      <c r="K246" s="40"/>
      <c r="L246" s="37"/>
      <c r="M246" s="37"/>
      <c r="N246" s="37"/>
      <c r="O246" s="37"/>
    </row>
    <row r="247" spans="1:15" s="1" customFormat="1" ht="31.2" x14ac:dyDescent="0.6">
      <c r="A247" s="23" t="s">
        <v>235</v>
      </c>
      <c r="B247" s="23" t="s">
        <v>490</v>
      </c>
      <c r="C247" s="24">
        <v>5</v>
      </c>
      <c r="D247" s="25">
        <f>_xlfn.XLOOKUP(C247, Sheet2!A:A, Sheet2!B:B)</f>
        <v>9</v>
      </c>
      <c r="E247" s="26">
        <f>Table1[[#This Row],[Fees in JOD]]*1.4085</f>
        <v>12.676500000000001</v>
      </c>
      <c r="F247" s="24"/>
      <c r="G247" s="28">
        <f>_xlfn.XLOOKUP(F247, Sheet2!C:C, Sheet2!D:D)</f>
        <v>0</v>
      </c>
      <c r="H247" s="29">
        <f>Table1[[#This Row],[Added Fees JOD]]*1.4085</f>
        <v>0</v>
      </c>
      <c r="I247" s="48">
        <f>Table1[[#This Row],[Fees in JOD]]+Table1[[#This Row],[Added Fees JOD]]</f>
        <v>9</v>
      </c>
      <c r="J247" s="49">
        <f>Table1[[#This Row],[Fees in USD]]+Table1[[#This Row],[Added Fees USD]]</f>
        <v>12.676500000000001</v>
      </c>
      <c r="K247" s="40"/>
      <c r="L247" s="37"/>
      <c r="M247" s="37"/>
      <c r="N247" s="37"/>
      <c r="O247" s="37"/>
    </row>
    <row r="248" spans="1:15" s="1" customFormat="1" ht="31.2" x14ac:dyDescent="0.6">
      <c r="A248" s="23" t="s">
        <v>237</v>
      </c>
      <c r="B248" s="23" t="s">
        <v>491</v>
      </c>
      <c r="C248" s="24">
        <v>5</v>
      </c>
      <c r="D248" s="25">
        <f>_xlfn.XLOOKUP(C248, Sheet2!A:A, Sheet2!B:B)</f>
        <v>9</v>
      </c>
      <c r="E248" s="26">
        <f>Table1[[#This Row],[Fees in JOD]]*1.4085</f>
        <v>12.676500000000001</v>
      </c>
      <c r="F248" s="24"/>
      <c r="G248" s="28">
        <f>_xlfn.XLOOKUP(F248, Sheet2!C:C, Sheet2!D:D)</f>
        <v>0</v>
      </c>
      <c r="H248" s="29">
        <f>Table1[[#This Row],[Added Fees JOD]]*1.4085</f>
        <v>0</v>
      </c>
      <c r="I248" s="48">
        <f>Table1[[#This Row],[Fees in JOD]]+Table1[[#This Row],[Added Fees JOD]]</f>
        <v>9</v>
      </c>
      <c r="J248" s="49">
        <f>Table1[[#This Row],[Fees in USD]]+Table1[[#This Row],[Added Fees USD]]</f>
        <v>12.676500000000001</v>
      </c>
      <c r="K248" s="40"/>
      <c r="L248" s="37"/>
      <c r="M248" s="37"/>
      <c r="N248" s="37"/>
      <c r="O248" s="37"/>
    </row>
    <row r="249" spans="1:15" s="1" customFormat="1" ht="31.2" x14ac:dyDescent="0.6">
      <c r="A249" s="23" t="s">
        <v>238</v>
      </c>
      <c r="B249" s="23" t="s">
        <v>492</v>
      </c>
      <c r="C249" s="24">
        <v>5</v>
      </c>
      <c r="D249" s="25">
        <f>_xlfn.XLOOKUP(C249, Sheet2!A:A, Sheet2!B:B)</f>
        <v>9</v>
      </c>
      <c r="E249" s="26">
        <f>Table1[[#This Row],[Fees in JOD]]*1.4085</f>
        <v>12.676500000000001</v>
      </c>
      <c r="F249" s="24"/>
      <c r="G249" s="28">
        <f>_xlfn.XLOOKUP(F249, Sheet2!C:C, Sheet2!D:D)</f>
        <v>0</v>
      </c>
      <c r="H249" s="29">
        <f>Table1[[#This Row],[Added Fees JOD]]*1.4085</f>
        <v>0</v>
      </c>
      <c r="I249" s="48">
        <f>Table1[[#This Row],[Fees in JOD]]+Table1[[#This Row],[Added Fees JOD]]</f>
        <v>9</v>
      </c>
      <c r="J249" s="49">
        <f>Table1[[#This Row],[Fees in USD]]+Table1[[#This Row],[Added Fees USD]]</f>
        <v>12.676500000000001</v>
      </c>
      <c r="K249" s="40"/>
      <c r="L249" s="37"/>
      <c r="M249" s="37"/>
      <c r="N249" s="37"/>
      <c r="O249" s="37"/>
    </row>
    <row r="250" spans="1:15" s="1" customFormat="1" ht="31.2" x14ac:dyDescent="0.6">
      <c r="A250" s="23" t="s">
        <v>239</v>
      </c>
      <c r="B250" s="23" t="s">
        <v>493</v>
      </c>
      <c r="C250" s="24">
        <v>5</v>
      </c>
      <c r="D250" s="25">
        <f>_xlfn.XLOOKUP(C250, Sheet2!A:A, Sheet2!B:B)</f>
        <v>9</v>
      </c>
      <c r="E250" s="26">
        <f>Table1[[#This Row],[Fees in JOD]]*1.4085</f>
        <v>12.676500000000001</v>
      </c>
      <c r="F250" s="24"/>
      <c r="G250" s="28">
        <f>_xlfn.XLOOKUP(F250, Sheet2!C:C, Sheet2!D:D)</f>
        <v>0</v>
      </c>
      <c r="H250" s="29">
        <f>Table1[[#This Row],[Added Fees JOD]]*1.4085</f>
        <v>0</v>
      </c>
      <c r="I250" s="48">
        <f>Table1[[#This Row],[Fees in JOD]]+Table1[[#This Row],[Added Fees JOD]]</f>
        <v>9</v>
      </c>
      <c r="J250" s="49">
        <f>Table1[[#This Row],[Fees in USD]]+Table1[[#This Row],[Added Fees USD]]</f>
        <v>12.676500000000001</v>
      </c>
      <c r="K250" s="40"/>
      <c r="L250" s="37"/>
      <c r="M250" s="37"/>
      <c r="N250" s="37"/>
      <c r="O250" s="37"/>
    </row>
    <row r="251" spans="1:15" s="1" customFormat="1" ht="31.2" x14ac:dyDescent="0.6">
      <c r="A251" s="23" t="s">
        <v>242</v>
      </c>
      <c r="B251" s="23" t="s">
        <v>494</v>
      </c>
      <c r="C251" s="24">
        <v>5</v>
      </c>
      <c r="D251" s="25">
        <f>_xlfn.XLOOKUP(C251, Sheet2!A:A, Sheet2!B:B)</f>
        <v>9</v>
      </c>
      <c r="E251" s="26">
        <f>Table1[[#This Row],[Fees in JOD]]*1.4085</f>
        <v>12.676500000000001</v>
      </c>
      <c r="F251" s="24"/>
      <c r="G251" s="28">
        <f>_xlfn.XLOOKUP(F251, Sheet2!C:C, Sheet2!D:D)</f>
        <v>0</v>
      </c>
      <c r="H251" s="29">
        <f>Table1[[#This Row],[Added Fees JOD]]*1.4085</f>
        <v>0</v>
      </c>
      <c r="I251" s="48">
        <f>Table1[[#This Row],[Fees in JOD]]+Table1[[#This Row],[Added Fees JOD]]</f>
        <v>9</v>
      </c>
      <c r="J251" s="49">
        <f>Table1[[#This Row],[Fees in USD]]+Table1[[#This Row],[Added Fees USD]]</f>
        <v>12.676500000000001</v>
      </c>
      <c r="K251" s="40"/>
      <c r="L251" s="37"/>
      <c r="M251" s="37"/>
      <c r="N251" s="37"/>
      <c r="O251" s="37"/>
    </row>
    <row r="252" spans="1:15" s="1" customFormat="1" ht="30" customHeight="1" x14ac:dyDescent="0.6">
      <c r="A252" s="23" t="s">
        <v>243</v>
      </c>
      <c r="B252" s="23" t="s">
        <v>495</v>
      </c>
      <c r="C252" s="24">
        <v>5</v>
      </c>
      <c r="D252" s="25">
        <f>_xlfn.XLOOKUP(C252, Sheet2!A:A, Sheet2!B:B)</f>
        <v>9</v>
      </c>
      <c r="E252" s="26">
        <f>Table1[[#This Row],[Fees in JOD]]*1.4085</f>
        <v>12.676500000000001</v>
      </c>
      <c r="F252" s="24"/>
      <c r="G252" s="28">
        <f>_xlfn.XLOOKUP(F252, Sheet2!C:C, Sheet2!D:D)</f>
        <v>0</v>
      </c>
      <c r="H252" s="29">
        <f>Table1[[#This Row],[Added Fees JOD]]*1.4085</f>
        <v>0</v>
      </c>
      <c r="I252" s="48">
        <f>Table1[[#This Row],[Fees in JOD]]+Table1[[#This Row],[Added Fees JOD]]</f>
        <v>9</v>
      </c>
      <c r="J252" s="49">
        <f>Table1[[#This Row],[Fees in USD]]+Table1[[#This Row],[Added Fees USD]]</f>
        <v>12.676500000000001</v>
      </c>
      <c r="K252" s="40"/>
      <c r="L252" s="37"/>
      <c r="M252" s="37"/>
      <c r="N252" s="37"/>
      <c r="O252" s="37"/>
    </row>
    <row r="253" spans="1:15" s="2" customFormat="1" ht="35.25" customHeight="1" x14ac:dyDescent="0.3">
      <c r="K253" s="41"/>
      <c r="L253" s="14"/>
      <c r="M253" s="14"/>
      <c r="N253" s="14"/>
      <c r="O253" s="14"/>
    </row>
    <row r="254" spans="1:15" s="2" customFormat="1" ht="30" customHeight="1" x14ac:dyDescent="0.3">
      <c r="K254" s="41"/>
      <c r="L254" s="14"/>
      <c r="M254" s="14"/>
      <c r="N254" s="14"/>
      <c r="O254" s="14"/>
    </row>
    <row r="255" spans="1:15" s="3" customFormat="1" ht="30" customHeight="1" x14ac:dyDescent="0.3">
      <c r="K255" s="42"/>
      <c r="L255" s="15"/>
      <c r="M255" s="15"/>
      <c r="N255" s="15"/>
      <c r="O255" s="15"/>
    </row>
    <row r="256" spans="1:15" s="3" customFormat="1" ht="30" customHeight="1" x14ac:dyDescent="0.3">
      <c r="K256" s="42"/>
      <c r="L256" s="15"/>
      <c r="M256" s="15"/>
      <c r="N256" s="15"/>
      <c r="O256" s="15"/>
    </row>
    <row r="257" spans="11:15" s="4" customFormat="1" ht="30" customHeight="1" x14ac:dyDescent="0.3">
      <c r="K257" s="43"/>
      <c r="L257" s="16"/>
      <c r="M257" s="16"/>
      <c r="N257" s="16"/>
      <c r="O257" s="16"/>
    </row>
    <row r="258" spans="11:15" s="5" customFormat="1" ht="30" customHeight="1" x14ac:dyDescent="0.6">
      <c r="K258" s="44"/>
      <c r="L258" s="17"/>
      <c r="M258" s="17"/>
      <c r="N258" s="17"/>
      <c r="O258" s="17"/>
    </row>
    <row r="259" spans="11:15" s="7" customFormat="1" ht="23.4" x14ac:dyDescent="0.45">
      <c r="L259" s="18"/>
      <c r="M259" s="18"/>
      <c r="N259" s="18"/>
      <c r="O259" s="18"/>
    </row>
  </sheetData>
  <mergeCells count="5">
    <mergeCell ref="A7:J7"/>
    <mergeCell ref="A3:D3"/>
    <mergeCell ref="A4:D4"/>
    <mergeCell ref="A2:D2"/>
    <mergeCell ref="A1:F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3A43-1B6E-4497-BD40-E140D1372736}">
  <dimension ref="A1:E6"/>
  <sheetViews>
    <sheetView workbookViewId="0">
      <selection sqref="A1:XFD1048576"/>
    </sheetView>
  </sheetViews>
  <sheetFormatPr defaultRowHeight="14.4" x14ac:dyDescent="0.3"/>
  <cols>
    <col min="1" max="1" width="9.88671875" bestFit="1" customWidth="1"/>
    <col min="2" max="2" width="10.88671875" customWidth="1"/>
    <col min="3" max="3" width="20" customWidth="1"/>
    <col min="4" max="4" width="12.77734375" customWidth="1"/>
    <col min="5" max="5" width="77.33203125" bestFit="1" customWidth="1"/>
    <col min="6" max="6" width="29.5546875" customWidth="1"/>
  </cols>
  <sheetData>
    <row r="1" spans="1:5" x14ac:dyDescent="0.3">
      <c r="A1" s="8" t="s">
        <v>244</v>
      </c>
      <c r="B1" s="8" t="s">
        <v>245</v>
      </c>
      <c r="C1" t="s">
        <v>496</v>
      </c>
      <c r="D1" t="s">
        <v>246</v>
      </c>
      <c r="E1" t="s">
        <v>506</v>
      </c>
    </row>
    <row r="2" spans="1:5" x14ac:dyDescent="0.3">
      <c r="A2" s="8">
        <v>1</v>
      </c>
      <c r="B2" s="10">
        <v>5</v>
      </c>
      <c r="C2" t="s">
        <v>247</v>
      </c>
      <c r="D2" s="10">
        <v>10</v>
      </c>
      <c r="E2" t="s">
        <v>504</v>
      </c>
    </row>
    <row r="3" spans="1:5" x14ac:dyDescent="0.3">
      <c r="A3" s="8">
        <v>2</v>
      </c>
      <c r="B3" s="10">
        <v>6</v>
      </c>
      <c r="C3" t="s">
        <v>497</v>
      </c>
      <c r="D3" s="10">
        <v>10</v>
      </c>
      <c r="E3" t="s">
        <v>501</v>
      </c>
    </row>
    <row r="4" spans="1:5" x14ac:dyDescent="0.3">
      <c r="A4" s="8">
        <v>3</v>
      </c>
      <c r="B4" s="10">
        <v>7</v>
      </c>
      <c r="C4" t="s">
        <v>498</v>
      </c>
      <c r="D4" s="10">
        <v>5</v>
      </c>
      <c r="E4" t="s">
        <v>502</v>
      </c>
    </row>
    <row r="5" spans="1:5" x14ac:dyDescent="0.3">
      <c r="A5" s="8">
        <v>4</v>
      </c>
      <c r="B5" s="10">
        <v>8</v>
      </c>
      <c r="C5" t="s">
        <v>499</v>
      </c>
      <c r="D5" s="10">
        <v>7</v>
      </c>
      <c r="E5" t="s">
        <v>503</v>
      </c>
    </row>
    <row r="6" spans="1:5" x14ac:dyDescent="0.3">
      <c r="A6" s="8">
        <v>5</v>
      </c>
      <c r="B6" s="10">
        <v>9</v>
      </c>
      <c r="C6" t="s">
        <v>500</v>
      </c>
      <c r="D6" s="10">
        <v>7</v>
      </c>
      <c r="E6" t="s">
        <v>505</v>
      </c>
    </row>
  </sheetData>
  <sheetProtection algorithmName="SHA-512" hashValue="/xoHeXPKZCCJ5FLRLSYum0A+sWaevNTXR9bWqFt6H0jf5xn6UKHuC+/nFqI6tC+1MObpuzGYATXa05tNX56nKw==" saltValue="I6pXon1v3ZbGX5km1Xb0kA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Delivery fees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Laith Masarweh</cp:lastModifiedBy>
  <cp:revision/>
  <dcterms:created xsi:type="dcterms:W3CDTF">2026-03-11T06:33:38Z</dcterms:created>
  <dcterms:modified xsi:type="dcterms:W3CDTF">2026-05-06T10:31:11Z</dcterms:modified>
  <cp:category/>
  <cp:contentStatus/>
</cp:coreProperties>
</file>